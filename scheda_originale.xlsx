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ZIO" sheetId="1" state="visible" r:id="rId1"/>
    <sheet xmlns:r="http://schemas.openxmlformats.org/officeDocument/2006/relationships" name="PUSH" sheetId="2" state="visible" r:id="rId2"/>
    <sheet xmlns:r="http://schemas.openxmlformats.org/officeDocument/2006/relationships" name="PULL" sheetId="3" state="visible" r:id="rId3"/>
    <sheet xmlns:r="http://schemas.openxmlformats.org/officeDocument/2006/relationships" name="LEGS" sheetId="4" state="visible" r:id="rId4"/>
    <sheet xmlns:r="http://schemas.openxmlformats.org/officeDocument/2006/relationships" name="UPPER" sheetId="5" state="visible" r:id="rId5"/>
    <sheet xmlns:r="http://schemas.openxmlformats.org/officeDocument/2006/relationships" name="LOWER" sheetId="6" state="visible" r:id="rId6"/>
    <sheet xmlns:r="http://schemas.openxmlformats.org/officeDocument/2006/relationships" name="Adattamenti" sheetId="7" state="visible" r:id="rId7"/>
    <sheet xmlns:r="http://schemas.openxmlformats.org/officeDocument/2006/relationships" name="Progressione" sheetId="8" state="visible" r:id="rId8"/>
    <sheet xmlns:r="http://schemas.openxmlformats.org/officeDocument/2006/relationships" name="Piano 9 settimane" sheetId="9" state="visible" r:id="rId9"/>
    <sheet xmlns:r="http://schemas.openxmlformats.org/officeDocument/2006/relationships" name="Protocollo panca" sheetId="10" state="visible" r:id="rId10"/>
    <sheet xmlns:r="http://schemas.openxmlformats.org/officeDocument/2006/relationships" name="Registro" sheetId="11" state="visible" r:id="rId11"/>
  </sheets>
  <definedNames>
    <definedName name="_xlnm._FilterDatabase" localSheetId="1" hidden="1">'PUSH'!$A$5:$L$13</definedName>
    <definedName name="_xlnm._FilterDatabase" localSheetId="2" hidden="1">'PULL'!$A$5:$L$13</definedName>
    <definedName name="_xlnm._FilterDatabase" localSheetId="3" hidden="1">'LEGS'!$A$5:$L$13</definedName>
    <definedName name="_xlnm._FilterDatabase" localSheetId="4" hidden="1">'UPPER'!$A$5:$L$14</definedName>
    <definedName name="_xlnm._FilterDatabase" localSheetId="5" hidden="1">'LOWER'!$A$5:$L$12</definedName>
    <definedName name="_xlnm._FilterDatabase" localSheetId="6" hidden="1">'Adattamenti'!$A$4:$H$13</definedName>
    <definedName name="_xlnm._FilterDatabase" localSheetId="8" hidden="1">'Piano 9 settimane'!$A$4:$M$13</definedName>
    <definedName name="_xlnm.Print_Area" localSheetId="8">'Piano 9 settimane'!$A$1:$M$22</definedName>
    <definedName name="_xlnm.Print_Area" localSheetId="9">'Protocollo panca'!$A$1:$F$23</definedName>
    <definedName name="_xlnm._FilterDatabase" localSheetId="10" hidden="1">'Registro'!$A$4:$L$21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  <sz val="10"/>
    </font>
    <font>
      <b val="1"/>
      <color rgb="00FFFFFF"/>
      <sz val="10"/>
    </font>
    <font>
      <color rgb="00666666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2"/>
    </font>
    <font>
      <color rgb="001F1F1F"/>
      <sz val="10"/>
    </font>
    <font>
      <b val="1"/>
      <color rgb="001F1F1F"/>
    </font>
    <font>
      <i val="1"/>
      <color rgb="001F1F1F"/>
    </font>
    <font>
      <color rgb="000000FF"/>
      <sz val="10"/>
    </font>
    <font>
      <b val="1"/>
      <color rgb="00FFFFFF"/>
      <sz val="15"/>
    </font>
    <font>
      <b val="1"/>
      <color rgb="00FFFFFF"/>
    </font>
    <font>
      <color rgb="00666666"/>
    </font>
    <font>
      <color rgb="00008000"/>
    </font>
    <font>
      <b val="1"/>
      <color rgb="000000FF"/>
      <sz val="12"/>
    </font>
    <font>
      <b val="1"/>
      <color rgb="00666666"/>
    </font>
    <font>
      <color rgb="001F1F1F"/>
    </font>
    <font>
      <b val="1"/>
      <color rgb="00008000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EF2"/>
      </patternFill>
    </fill>
    <fill>
      <patternFill patternType="solid">
        <fgColor rgb="001F7A8C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bottom style="medium">
        <color rgb="0017324D"/>
      </bottom>
    </border>
    <border>
      <bottom style="thin">
        <color rgb="00B7C9D3"/>
      </bottom>
    </border>
    <border>
      <bottom style="medium">
        <color rgb="001F7A8C"/>
      </bottom>
    </border>
    <border>
      <bottom style="thin">
        <color rgb="00D0D7DE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/>
    </xf>
    <xf numFmtId="0" fontId="8" fillId="5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7" fillId="4" borderId="0" pivotButton="0" quotePrefix="0" xfId="0"/>
    <xf numFmtId="0" fontId="9" fillId="3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0" fillId="9" borderId="0" applyAlignment="1" pivotButton="0" quotePrefix="0" xfId="0">
      <alignment wrapText="1"/>
    </xf>
    <xf numFmtId="0" fontId="10" fillId="6" borderId="0" applyAlignment="1" pivotButton="0" quotePrefix="0" xfId="0">
      <alignment wrapText="1"/>
    </xf>
    <xf numFmtId="0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0" fontId="18" fillId="3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/>
    </xf>
    <xf numFmtId="0" fontId="14" fillId="6" borderId="0" applyAlignment="1" pivotButton="0" quotePrefix="0" xfId="0">
      <alignment vertical="top" wrapText="1"/>
    </xf>
    <xf numFmtId="0" fontId="17" fillId="0" borderId="4" pivotButton="0" quotePrefix="0" xfId="0"/>
    <xf numFmtId="0" fontId="15" fillId="0" borderId="4" applyAlignment="1" pivotButton="0" quotePrefix="0" xfId="0">
      <alignment wrapText="1"/>
    </xf>
    <xf numFmtId="0" fontId="17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wrapText="1"/>
    </xf>
    <xf numFmtId="0" fontId="18" fillId="0" borderId="4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3" fillId="4" borderId="0" pivotButton="0" quotePrefix="0" xfId="0"/>
    <xf numFmtId="0" fontId="0" fillId="3" borderId="0" applyAlignment="1" pivotButton="0" quotePrefix="0" xfId="0">
      <alignment vertical="center" wrapText="1"/>
    </xf>
    <xf numFmtId="0" fontId="15" fillId="0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center" vertical="center" wrapText="1"/>
    </xf>
    <xf numFmtId="0" fontId="15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left" vertical="center" wrapText="1"/>
    </xf>
    <xf numFmtId="0" fontId="14" fillId="7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left" vertical="center" wrapText="1"/>
    </xf>
    <xf numFmtId="0" fontId="14" fillId="7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center" vertical="center" wrapText="1"/>
    </xf>
    <xf numFmtId="0" fontId="15" fillId="8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center" vertical="center" wrapText="1"/>
    </xf>
    <xf numFmtId="0" fontId="15" fillId="9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13" fillId="2" borderId="0" pivotButton="0" quotePrefix="0" xfId="0"/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B10" authorId="0" shapeId="0">
      <text>
        <t>Inserisci un numero da 1 a 9. Le celle riepilogo panca si aggiornano automaticamente.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28" customWidth="1" min="4" max="4"/>
    <col width="43" customWidth="1" min="5" max="5"/>
    <col width="3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32" t="inlineStr">
        <is>
          <t>Scheda PPL + Upper/Lower - low volume 2 set + piano forza panca v3</t>
        </is>
      </c>
    </row>
    <row r="2" ht="32" customHeight="1">
      <c r="A2" s="33" t="inlineStr">
        <is>
          <t>5 sedute: Push / Pull / Legs / Upper / Lower. Panca prioritaria 2 volte a settimana; PPL personalizzata sui tuoi esercizi e carichi reali.</t>
        </is>
      </c>
    </row>
    <row r="4">
      <c r="A4" s="34" t="inlineStr">
        <is>
          <t>Giorno</t>
        </is>
      </c>
      <c r="B4" s="34" t="inlineStr">
        <is>
          <t>Seduta</t>
        </is>
      </c>
      <c r="C4" s="34" t="inlineStr">
        <is>
          <t>Durata base (min)</t>
        </is>
      </c>
      <c r="D4" s="34" t="inlineStr">
        <is>
          <t>Panca A + spinta controllata</t>
        </is>
      </c>
      <c r="E4" s="34" t="inlineStr">
        <is>
          <t>Push volutamente sobrio finche la panca e la priorita.</t>
        </is>
      </c>
      <c r="G4" s="35" t="inlineStr">
        <is>
          <t>2. Accessori: volume basso e logbook. I multiarticolari restano circa a RIR 1; gli isolamenti possono arrivare a RIR 0-1 con tecnica pulita.</t>
        </is>
      </c>
    </row>
    <row r="5" ht="32" customHeight="1">
      <c r="A5" s="36" t="inlineStr">
        <is>
          <t>1</t>
        </is>
      </c>
      <c r="B5" s="36" t="inlineStr">
        <is>
          <t>PUSH</t>
        </is>
      </c>
      <c r="C5" s="37">
        <f>'PUSH'!J15</f>
        <v/>
      </c>
      <c r="D5" s="38" t="inlineStr">
        <is>
          <t>Dorso / bicipiti - impostazione personale</t>
        </is>
      </c>
      <c r="E5" s="38" t="inlineStr">
        <is>
          <t>Pulldown corda, row, high row, pulley, trazioni e bicipiti.</t>
        </is>
      </c>
      <c r="G5" s="39" t="inlineStr">
        <is>
          <t>3. Pull e Legs seguono la struttura che preferisci. Il riscaldamento non conta come serie allenante.</t>
        </is>
      </c>
    </row>
    <row r="6" ht="32" customHeight="1">
      <c r="A6" s="36" t="inlineStr">
        <is>
          <t>2</t>
        </is>
      </c>
      <c r="B6" s="36" t="inlineStr">
        <is>
          <t>PULL</t>
        </is>
      </c>
      <c r="C6" s="37">
        <f>'PULL'!J15</f>
        <v/>
      </c>
      <c r="D6" s="38" t="inlineStr">
        <is>
          <t>Quadricipiti + femorali - impostazione personale</t>
        </is>
      </c>
      <c r="E6" s="38" t="inlineStr">
        <is>
          <t>Pendulum, pressa, extension e curl.</t>
        </is>
      </c>
      <c r="G6" s="39" t="inlineStr">
        <is>
          <t>4. Manubri inclinata: tenuti come alternativa da reintrodurre dopo il test di panca, non come scelta base durante questo blocco.</t>
        </is>
      </c>
    </row>
    <row r="7" ht="32" customHeight="1">
      <c r="A7" s="36" t="inlineStr">
        <is>
          <t>3</t>
        </is>
      </c>
      <c r="B7" s="36" t="inlineStr">
        <is>
          <t>LEGS</t>
        </is>
      </c>
      <c r="C7" s="37">
        <f>'LEGS'!J15</f>
        <v/>
      </c>
      <c r="D7" s="38" t="inlineStr">
        <is>
          <t>Quadricipiti + femorali + polpacci</t>
        </is>
      </c>
      <c r="E7" s="38" t="inlineStr">
        <is>
          <t>Giornata a prevalenza quadricipiti.</t>
        </is>
      </c>
      <c r="G7" s="39" t="inlineStr">
        <is>
          <t>5. Settimane 4, 7, 8 e 9: usa gli adattamenti per proteggere la performance in panca.</t>
        </is>
      </c>
    </row>
    <row r="8" ht="32" customHeight="1">
      <c r="A8" s="36" t="inlineStr">
        <is>
          <t>4</t>
        </is>
      </c>
      <c r="B8" s="36" t="inlineStr">
        <is>
          <t>RIPOSO</t>
        </is>
      </c>
      <c r="C8" s="36" t="inlineStr">
        <is>
          <t>—</t>
        </is>
      </c>
      <c r="D8" s="38" t="inlineStr">
        <is>
          <t>Recupero</t>
        </is>
      </c>
      <c r="E8" s="38" t="inlineStr">
        <is>
          <t>Camminata/mobilità facoltativa.</t>
        </is>
      </c>
      <c r="G8" s="39" t="inlineStr">
        <is>
          <t>6. Se una seduta si allunga, taglia un isolamento; non accorciare i recuperi della panca.</t>
        </is>
      </c>
    </row>
    <row r="9" ht="32" customHeight="1">
      <c r="A9" s="36" t="inlineStr">
        <is>
          <t>5</t>
        </is>
      </c>
      <c r="B9" s="36" t="inlineStr">
        <is>
          <t>UPPER</t>
        </is>
      </c>
      <c r="C9" s="37">
        <f>'UPPER'!J15</f>
        <v/>
      </c>
      <c r="D9" s="38" t="inlineStr">
        <is>
          <t>Panca B + dorso essenziale</t>
        </is>
      </c>
      <c r="E9" s="38" t="inlineStr">
        <is>
          <t>Fermo 2 s, recuperi lunghi; poi high row e lat machine.</t>
        </is>
      </c>
      <c r="G9" s="39" t="inlineStr">
        <is>
          <t>5. Se una seduta supera 60 min, taglia prima l’ultimo isolamento, non i fondamentali o la panca.</t>
        </is>
      </c>
    </row>
    <row r="10" ht="32" customHeight="1">
      <c r="A10" s="40" t="inlineStr">
        <is>
          <t>Settimana attuale</t>
        </is>
      </c>
      <c r="B10" s="41" t="n">
        <v>3</v>
      </c>
      <c r="C10" s="37">
        <f>'LOWER'!J14</f>
        <v/>
      </c>
      <c r="D10" s="38" t="inlineStr">
        <is>
          <t>Catena posteriore + glutei + polpacci</t>
        </is>
      </c>
      <c r="E10" s="38" t="inlineStr">
        <is>
          <t>Giornata a prevalenza femorali/glutei.</t>
        </is>
      </c>
    </row>
    <row r="11" ht="32" customHeight="1">
      <c r="A11" s="36" t="inlineStr">
        <is>
          <t>7</t>
        </is>
      </c>
      <c r="B11" s="36" t="inlineStr">
        <is>
          <t>RIPOSO</t>
        </is>
      </c>
      <c r="C11" s="36" t="inlineStr">
        <is>
          <t>—</t>
        </is>
      </c>
      <c r="D11" s="38" t="inlineStr">
        <is>
          <t>Recupero</t>
        </is>
      </c>
      <c r="E11" s="38" t="inlineStr">
        <is>
          <t>Riparti poi dal Push.</t>
        </is>
      </c>
    </row>
    <row r="12">
      <c r="G12" s="35" t="inlineStr">
        <is>
          <t>Attrezzi sfruttati</t>
        </is>
      </c>
    </row>
    <row r="13">
      <c r="A13" s="34" t="inlineStr">
        <is>
          <t>Voce</t>
        </is>
      </c>
      <c r="B13" s="34" t="inlineStr">
        <is>
          <t>Valore selezionato</t>
        </is>
      </c>
      <c r="G13" s="42" t="inlineStr">
        <is>
          <t>Matrix: assistenza trazioni/dip, pulley, lat machine, cavo singolo e castello 2 cavi, pec fly/reverse pec deck, chest press, incline chest press plate-loaded, high row, shoulder press, T-bar row, perfect squat, pressa 45° e orizzontale, leg curl/extension, standing leg curl, hip thrust, adductor/abductor, belt squat. Inoltre: manubri, panca piana e multipower.</t>
        </is>
      </c>
    </row>
    <row r="14" ht="28" customHeight="1">
      <c r="A14" s="43" t="inlineStr">
        <is>
          <t>Fase</t>
        </is>
      </c>
      <c r="B14" s="44">
        <f>INDEX('Piano 9 settimane'!$B$5:$B$13,$B$10)</f>
        <v/>
      </c>
    </row>
    <row r="15" ht="28" customHeight="1">
      <c r="A15" s="43" t="inlineStr">
        <is>
          <t>Push – top set</t>
        </is>
      </c>
      <c r="B15" s="44">
        <f>INDEX('Piano 9 settimane'!$D$5:$D$13,$B$10)</f>
        <v/>
      </c>
    </row>
    <row r="16" ht="28" customHeight="1">
      <c r="A16" s="43" t="inlineStr">
        <is>
          <t>Push – back-off</t>
        </is>
      </c>
      <c r="B16" s="44">
        <f>INDEX('Piano 9 settimane'!$E$5:$E$13,$B$10)</f>
        <v/>
      </c>
    </row>
    <row r="17" ht="28" customHeight="1">
      <c r="A17" s="43" t="inlineStr">
        <is>
          <t>Upper – panca con fermo</t>
        </is>
      </c>
      <c r="B17" s="44">
        <f>INDEX('Piano 9 settimane'!$H$5:$H$13,$B$10)</f>
        <v/>
      </c>
    </row>
    <row r="18" ht="28" customHeight="1">
      <c r="A18" s="43" t="inlineStr">
        <is>
          <t>RPE obiettivo</t>
        </is>
      </c>
      <c r="B18" s="44">
        <f>INDEX('Piano 9 settimane'!$J$5:$J$13,$B$10)</f>
        <v/>
      </c>
    </row>
    <row r="19" ht="42" customHeight="1">
      <c r="A19" s="43" t="inlineStr">
        <is>
          <t>Indicazione</t>
        </is>
      </c>
      <c r="B19" s="44">
        <f>INDEX('Piano 9 settimane'!$M$5:$M$13,$B$10)</f>
        <v/>
      </c>
    </row>
  </sheetData>
  <mergeCells count="8">
    <mergeCell ref="A2:L2"/>
    <mergeCell ref="G5:L5"/>
    <mergeCell ref="G6:L6"/>
    <mergeCell ref="A1:L1"/>
    <mergeCell ref="G9:L9"/>
    <mergeCell ref="G8:L8"/>
    <mergeCell ref="G13:L18"/>
    <mergeCell ref="G7:L7"/>
  </mergeCells>
  <dataValidations count="1">
    <dataValidation sqref="B10" showDropDown="0" showInputMessage="0" showErrorMessage="0" allowBlank="0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28" customWidth="1" min="3" max="3"/>
    <col width="8" customWidth="1" min="4" max="4"/>
    <col width="14" customWidth="1" min="5" max="5"/>
    <col width="8" customWidth="1" min="6" max="6"/>
    <col width="14" customWidth="1" min="7" max="7"/>
    <col width="11" customWidth="1" min="8" max="8"/>
    <col width="16" customWidth="1" min="9" max="9"/>
    <col width="12" customWidth="1" min="10" max="10"/>
    <col width="28" customWidth="1" min="11" max="11"/>
    <col width="44" customWidth="1" min="12" max="12"/>
    <col hidden="1" width="15" customWidth="1" min="13" max="13"/>
  </cols>
  <sheetData>
    <row r="1" ht="28" customHeight="1">
      <c r="A1" s="32" t="inlineStr">
        <is>
          <t>PUSH - panca forza + low volume 2 set</t>
        </is>
      </c>
    </row>
    <row r="2" ht="32" customHeight="1">
      <c r="A2" s="33" t="inlineStr">
        <is>
          <t>Panca A prioritaria. Push volutamente semplice per non togliere recupero alla forza; manubri inclinata rimandati a dopo il ciclo.</t>
        </is>
      </c>
    </row>
    <row r="3">
      <c r="A3" s="45" t="inlineStr">
        <is>
          <t>Settimana selezionata</t>
        </is>
      </c>
      <c r="B3" s="46">
        <f>INIZIO!$B$10</f>
        <v/>
      </c>
      <c r="D3" s="45" t="inlineStr">
        <is>
          <t>Panca della settimana</t>
        </is>
      </c>
      <c r="E3" s="47">
        <f>INDEX('Piano 9 settimane'!$D$5:$D$13,INIZIO!$B$10)&amp;" + "&amp;INDEX('Piano 9 settimane'!$E$5:$E$13,INIZIO!$B$10)</f>
        <v/>
      </c>
    </row>
    <row r="5" ht="34" customHeight="1">
      <c r="A5" s="34" t="inlineStr">
        <is>
          <t>#</t>
        </is>
      </c>
      <c r="B5" s="34" t="inlineStr">
        <is>
          <t>Esercizio</t>
        </is>
      </c>
      <c r="C5" s="34" t="inlineStr">
        <is>
          <t>Attrezzo / setup</t>
        </is>
      </c>
      <c r="D5" s="34" t="inlineStr">
        <is>
          <t>Serie</t>
        </is>
      </c>
      <c r="E5" s="34" t="inlineStr">
        <is>
          <t>Ripetizioni</t>
        </is>
      </c>
      <c r="F5" s="34" t="inlineStr">
        <is>
          <t>RIR</t>
        </is>
      </c>
      <c r="G5" s="34" t="inlineStr">
        <is>
          <t>Recupero (s)</t>
        </is>
      </c>
      <c r="H5" s="34" t="inlineStr">
        <is>
          <t>Sec/serie</t>
        </is>
      </c>
      <c r="I5" s="34" t="inlineStr">
        <is>
          <t>Setup/cambio (s)</t>
        </is>
      </c>
      <c r="J5" s="34" t="inlineStr">
        <is>
          <t>Min stimati</t>
        </is>
      </c>
      <c r="K5" s="34" t="inlineStr">
        <is>
          <t>Alternativa</t>
        </is>
      </c>
      <c r="L5" s="34" t="inlineStr">
        <is>
          <t>Note</t>
        </is>
      </c>
      <c r="M5" s="34" t="inlineStr">
        <is>
          <t>Durata fissa (min)</t>
        </is>
      </c>
    </row>
    <row r="6" ht="42" customHeight="1">
      <c r="A6" s="36" t="n">
        <v>1</v>
      </c>
      <c r="B6" s="38" t="inlineStr">
        <is>
          <t>Preparazione spalle/scapole</t>
        </is>
      </c>
      <c r="C6" s="38" t="inlineStr">
        <is>
          <t>Cavo leggero + mobilita</t>
        </is>
      </c>
      <c r="D6" s="36" t="n"/>
      <c r="E6" s="36" t="inlineStr">
        <is>
          <t>2-3 min</t>
        </is>
      </c>
      <c r="F6" s="36" t="inlineStr">
        <is>
          <t>-</t>
        </is>
      </c>
      <c r="G6" s="36" t="n"/>
      <c r="H6" s="36" t="n"/>
      <c r="I6" s="36" t="n"/>
      <c r="J6" s="48">
        <f>IF(M6&lt;&gt;"",M6,ROUND((D6*H6+MAX(0,D6-1)*G6+I6)/60,1))</f>
        <v/>
      </c>
      <c r="K6" s="38" t="inlineStr">
        <is>
          <t>Se sei gia caldo: 2 min</t>
        </is>
      </c>
      <c r="L6" s="38" t="inlineStr">
        <is>
          <t>Solo attivazione; non deve affaticare.</t>
        </is>
      </c>
      <c r="M6" s="36" t="n">
        <v>3</v>
      </c>
    </row>
    <row r="7" ht="42" customHeight="1">
      <c r="A7" s="36" t="n">
        <v>2</v>
      </c>
      <c r="B7" s="38" t="inlineStr">
        <is>
          <t>Panca piana - Protocollo A</t>
        </is>
      </c>
      <c r="C7" s="38" t="inlineStr">
        <is>
          <t>Panca piana + bilanciere</t>
        </is>
      </c>
      <c r="D7" s="36" t="n"/>
      <c r="E7" s="36" t="inlineStr">
        <is>
          <t>1 singola + 2 back-off</t>
        </is>
      </c>
      <c r="F7" s="36" t="inlineStr">
        <is>
          <t>Da piano</t>
        </is>
      </c>
      <c r="G7" s="36" t="n"/>
      <c r="H7" s="36" t="n"/>
      <c r="I7" s="36" t="n"/>
      <c r="J7" s="48">
        <f>IF(M7&lt;&gt;"",M7,ROUND((D7*H7+MAX(0,D7-1)*G7+I7)/60,1))</f>
        <v/>
      </c>
      <c r="K7" s="38" t="inlineStr">
        <is>
          <t>Nessuna</t>
        </is>
      </c>
      <c r="L7" s="38" t="inlineStr">
        <is>
          <t>Segui Piano 9 settimane e Protocollo panca. Fermo piu netto sulla singola rispetto a W2.</t>
        </is>
      </c>
      <c r="M7" s="36" t="n">
        <v>16</v>
      </c>
    </row>
    <row r="8" ht="42" customHeight="1">
      <c r="A8" s="36" t="n">
        <v>3</v>
      </c>
      <c r="B8" s="38" t="inlineStr">
        <is>
          <t>Incline chest press</t>
        </is>
      </c>
      <c r="C8" s="38" t="inlineStr">
        <is>
          <t>Matrix plate-loaded</t>
        </is>
      </c>
      <c r="D8" s="36" t="n">
        <v>2</v>
      </c>
      <c r="E8" s="36" t="inlineStr">
        <is>
          <t>6-10</t>
        </is>
      </c>
      <c r="F8" s="36" t="inlineStr">
        <is>
          <t>1</t>
        </is>
      </c>
      <c r="G8" s="36" t="n">
        <v>150</v>
      </c>
      <c r="H8" s="36" t="n">
        <v>40</v>
      </c>
      <c r="I8" s="36" t="n">
        <v>90</v>
      </c>
      <c r="J8" s="48">
        <f>IF(M8&lt;&gt;"",M8,ROUND((D8*H8+MAX(0,D8-1)*G8+I8)/60,1))</f>
        <v/>
      </c>
      <c r="K8" s="38" t="inlineStr">
        <is>
          <t>Distensioni manubri inclinata (dopo W9)</t>
        </is>
      </c>
      <c r="L8" s="38" t="inlineStr">
        <is>
          <t>Riferimento: 50 kg x 8 / 7 / 7. Ora solo 2 set: resta a 50 kg finche non ottieni almeno 9 + 8 pulite.</t>
        </is>
      </c>
      <c r="M8" s="36" t="n"/>
    </row>
    <row r="9" ht="42" customHeight="1">
      <c r="A9" s="36" t="n">
        <v>4</v>
      </c>
      <c r="B9" s="38" t="inlineStr">
        <is>
          <t>Shoulder press pacco pesi</t>
        </is>
      </c>
      <c r="C9" s="38" t="inlineStr">
        <is>
          <t>Matrix selectorized</t>
        </is>
      </c>
      <c r="D9" s="36" t="n">
        <v>2</v>
      </c>
      <c r="E9" s="36" t="inlineStr">
        <is>
          <t>6-10</t>
        </is>
      </c>
      <c r="F9" s="36" t="inlineStr">
        <is>
          <t>1</t>
        </is>
      </c>
      <c r="G9" s="36" t="n">
        <v>150</v>
      </c>
      <c r="H9" s="36" t="n">
        <v>40</v>
      </c>
      <c r="I9" s="36" t="n">
        <v>75</v>
      </c>
      <c r="J9" s="48">
        <f>IF(M9&lt;&gt;"",M9,ROUND((D9*H9+MAX(0,D9-1)*G9+I9)/60,1))</f>
        <v/>
      </c>
      <c r="K9" s="38" t="inlineStr">
        <is>
          <t>Shoulder press plate-loaded</t>
        </is>
      </c>
      <c r="L9" s="38" t="inlineStr">
        <is>
          <t>Riferimento: 77 kg x 10 x 3. Ora 2 set; aumenta solo quando chiudi 10 + 10 pulite.</t>
        </is>
      </c>
      <c r="M9" s="36" t="n"/>
    </row>
    <row r="10" ht="42" customHeight="1">
      <c r="A10" s="36" t="n">
        <v>5</v>
      </c>
      <c r="B10" s="38" t="inlineStr">
        <is>
          <t>Pec fly</t>
        </is>
      </c>
      <c r="C10" s="38" t="inlineStr">
        <is>
          <t>Matrix pec fly</t>
        </is>
      </c>
      <c r="D10" s="36" t="n">
        <v>2</v>
      </c>
      <c r="E10" s="36" t="inlineStr">
        <is>
          <t>10-15</t>
        </is>
      </c>
      <c r="F10" s="36" t="inlineStr">
        <is>
          <t>0-1</t>
        </is>
      </c>
      <c r="G10" s="36" t="n">
        <v>90</v>
      </c>
      <c r="H10" s="36" t="n">
        <v>45</v>
      </c>
      <c r="I10" s="36" t="n">
        <v>60</v>
      </c>
      <c r="J10" s="48">
        <f>IF(M10&lt;&gt;"",M10,ROUND((D10*H10+MAX(0,D10-1)*G10+I10)/60,1))</f>
        <v/>
      </c>
      <c r="K10" s="38" t="inlineStr">
        <is>
          <t>Croci ai cavi</t>
        </is>
      </c>
      <c r="L10" s="38" t="inlineStr">
        <is>
          <t>Riferimento: 134 kg x 15 / 12. Mantieni finche arrivi vicino a 15 + 15.</t>
        </is>
      </c>
      <c r="M10" s="36" t="n"/>
    </row>
    <row r="11" ht="42" customHeight="1">
      <c r="A11" s="36" t="n">
        <v>6</v>
      </c>
      <c r="B11" s="38" t="inlineStr">
        <is>
          <t>Alzate laterali manubri</t>
        </is>
      </c>
      <c r="C11" s="38" t="inlineStr">
        <is>
          <t>Manubri</t>
        </is>
      </c>
      <c r="D11" s="36" t="n">
        <v>2</v>
      </c>
      <c r="E11" s="36" t="inlineStr">
        <is>
          <t>12-20</t>
        </is>
      </c>
      <c r="F11" s="36" t="inlineStr">
        <is>
          <t>0-1</t>
        </is>
      </c>
      <c r="G11" s="36" t="n">
        <v>75</v>
      </c>
      <c r="H11" s="36" t="n">
        <v>45</v>
      </c>
      <c r="I11" s="36" t="n">
        <v>60</v>
      </c>
      <c r="J11" s="48">
        <f>IF(M11&lt;&gt;"",M11,ROUND((D11*H11+MAX(0,D11-1)*G11+I11)/60,1))</f>
        <v/>
      </c>
      <c r="K11" s="38" t="inlineStr">
        <is>
          <t>Cavo singolo</t>
        </is>
      </c>
      <c r="L11" s="38" t="inlineStr">
        <is>
          <t>Riferimento: 10 kg x 17 x 3. Ora 2 set duri e puliti.</t>
        </is>
      </c>
      <c r="M11" s="36" t="n"/>
    </row>
    <row r="12" ht="42" customHeight="1">
      <c r="A12" s="36" t="n">
        <v>7</v>
      </c>
      <c r="B12" s="38" t="inlineStr">
        <is>
          <t>Pushdown tricipiti</t>
        </is>
      </c>
      <c r="C12" s="38" t="inlineStr">
        <is>
          <t>Cavo + corda/barra</t>
        </is>
      </c>
      <c r="D12" s="36" t="n">
        <v>2</v>
      </c>
      <c r="E12" s="36" t="inlineStr">
        <is>
          <t>8-12</t>
        </is>
      </c>
      <c r="F12" s="36" t="inlineStr">
        <is>
          <t>0-1</t>
        </is>
      </c>
      <c r="G12" s="36" t="n">
        <v>90</v>
      </c>
      <c r="H12" s="36" t="n">
        <v>40</v>
      </c>
      <c r="I12" s="36" t="n">
        <v>60</v>
      </c>
      <c r="J12" s="48">
        <f>IF(M12&lt;&gt;"",M12,ROUND((D12*H12+MAX(0,D12-1)*G12+I12)/60,1))</f>
        <v/>
      </c>
      <c r="K12" s="38" t="inlineStr">
        <is>
          <t>Estensione overhead al cavo</t>
        </is>
      </c>
      <c r="L12" s="38" t="inlineStr">
        <is>
          <t>Un solo esercizio diretto tricipiti: evita volume extra mentre la panca e prioritaria.</t>
        </is>
      </c>
      <c r="M12" s="36" t="n"/>
    </row>
    <row r="13" ht="42" customHeight="1">
      <c r="A13" s="36" t="n"/>
      <c r="B13" s="38" t="n"/>
      <c r="C13" s="38" t="n"/>
      <c r="D13" s="36" t="n"/>
      <c r="E13" s="36" t="n"/>
      <c r="F13" s="36" t="n"/>
      <c r="G13" s="36" t="n"/>
      <c r="H13" s="36" t="n"/>
      <c r="I13" s="36" t="n"/>
      <c r="J13" s="48" t="n"/>
      <c r="K13" s="38" t="n"/>
      <c r="L13" s="38" t="n"/>
      <c r="M13" s="36" t="n"/>
    </row>
    <row r="15">
      <c r="H15" s="49" t="inlineStr">
        <is>
          <t>Totale seduta</t>
        </is>
      </c>
      <c r="I15" s="49" t="inlineStr">
        <is>
          <t>min</t>
        </is>
      </c>
      <c r="J15" s="49">
        <f>ROUND(SUM(J6:J13),1)</f>
        <v/>
      </c>
      <c r="K15" s="49" t="inlineStr">
        <is>
          <t>Target 30-50</t>
        </is>
      </c>
      <c r="L15" s="49">
        <f>IF(AND(J15&gt;=30,J15&lt;=50),"OK","RIVEDERE")</f>
        <v/>
      </c>
    </row>
    <row r="17" ht="34" customHeight="1">
      <c r="A17" s="50" t="inlineStr">
        <is>
          <t>Regola chiave</t>
        </is>
      </c>
      <c r="B17" s="51" t="inlineStr">
        <is>
          <t>Panca prima. Negli accessori cerca progressione con 2 set di qualita; niente manubri inclinata nel blocco attuale se ti fanno arrivare stanco alla panca successiva.</t>
        </is>
      </c>
    </row>
  </sheetData>
  <autoFilter ref="A5:L13"/>
  <mergeCells count="4">
    <mergeCell ref="A2:M2"/>
    <mergeCell ref="B17:L17"/>
    <mergeCell ref="A1:M1"/>
    <mergeCell ref="E3:M3"/>
  </mergeCells>
  <conditionalFormatting sqref="J15">
    <cfRule type="cellIs" priority="1" operator="between" dxfId="1">
      <formula>45</formula>
      <formula>60</formula>
    </cfRule>
    <cfRule type="cellIs" priority="2" operator="lessThan" dxfId="2">
      <formula>45</formula>
    </cfRule>
    <cfRule type="cellIs" priority="3" operator="greaterThan" dxfId="2">
      <formula>60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28" customWidth="1" min="3" max="3"/>
    <col width="8" customWidth="1" min="4" max="4"/>
    <col width="14" customWidth="1" min="5" max="5"/>
    <col width="8" customWidth="1" min="6" max="6"/>
    <col width="14" customWidth="1" min="7" max="7"/>
    <col width="11" customWidth="1" min="8" max="8"/>
    <col width="16" customWidth="1" min="9" max="9"/>
    <col width="12" customWidth="1" min="10" max="10"/>
    <col width="28" customWidth="1" min="11" max="11"/>
    <col width="44" customWidth="1" min="12" max="12"/>
    <col hidden="1" width="15" customWidth="1" min="13" max="13"/>
  </cols>
  <sheetData>
    <row r="1" ht="28" customHeight="1">
      <c r="A1" s="32" t="inlineStr">
        <is>
          <t>PULL - tua impostazione low volume</t>
        </is>
      </c>
    </row>
    <row r="2" ht="32" customHeight="1">
      <c r="A2" s="33" t="inlineStr">
        <is>
          <t>Ordine mantenuto come lo preferisci. Row pesanti con recuperi completi; set finali a massimo tecnico, non ripetizioni sporche.</t>
        </is>
      </c>
    </row>
    <row r="3">
      <c r="A3" s="45" t="inlineStr">
        <is>
          <t>Settimana selezionata</t>
        </is>
      </c>
      <c r="B3" s="46">
        <f>INIZIO!$B$10</f>
        <v/>
      </c>
    </row>
    <row r="5" ht="34" customHeight="1">
      <c r="A5" s="34" t="inlineStr">
        <is>
          <t>#</t>
        </is>
      </c>
      <c r="B5" s="34" t="inlineStr">
        <is>
          <t>Esercizio</t>
        </is>
      </c>
      <c r="C5" s="34" t="inlineStr">
        <is>
          <t>Attrezzo / setup</t>
        </is>
      </c>
      <c r="D5" s="34" t="inlineStr">
        <is>
          <t>Serie</t>
        </is>
      </c>
      <c r="E5" s="34" t="inlineStr">
        <is>
          <t>Ripetizioni</t>
        </is>
      </c>
      <c r="F5" s="34" t="inlineStr">
        <is>
          <t>RIR</t>
        </is>
      </c>
      <c r="G5" s="34" t="inlineStr">
        <is>
          <t>Recupero (s)</t>
        </is>
      </c>
      <c r="H5" s="34" t="inlineStr">
        <is>
          <t>Sec/serie</t>
        </is>
      </c>
      <c r="I5" s="34" t="inlineStr">
        <is>
          <t>Setup/cambio (s)</t>
        </is>
      </c>
      <c r="J5" s="34" t="inlineStr">
        <is>
          <t>Min stimati</t>
        </is>
      </c>
      <c r="K5" s="34" t="inlineStr">
        <is>
          <t>Alternativa</t>
        </is>
      </c>
      <c r="L5" s="34" t="inlineStr">
        <is>
          <t>Note</t>
        </is>
      </c>
      <c r="M5" s="34" t="inlineStr">
        <is>
          <t>Durata fissa (min)</t>
        </is>
      </c>
    </row>
    <row r="6" ht="42" customHeight="1">
      <c r="A6" s="36" t="n">
        <v>1</v>
      </c>
      <c r="B6" s="38" t="inlineStr">
        <is>
          <t>Riscaldamento generale</t>
        </is>
      </c>
      <c r="C6" s="38" t="inlineStr">
        <is>
          <t>Scapole/gomiti + serie leggere</t>
        </is>
      </c>
      <c r="D6" s="36" t="n"/>
      <c r="E6" s="36" t="inlineStr">
        <is>
          <t>4-5 min</t>
        </is>
      </c>
      <c r="F6" s="36" t="inlineStr">
        <is>
          <t>-</t>
        </is>
      </c>
      <c r="G6" s="36" t="n"/>
      <c r="H6" s="36" t="n"/>
      <c r="I6" s="36" t="n"/>
      <c r="J6" s="48">
        <f>IF(M6&lt;&gt;"",M6,ROUND((D6*H6+MAX(0,D6-1)*G6+I6)/60,1))</f>
        <v/>
      </c>
      <c r="K6" s="38" t="inlineStr">
        <is>
          <t>-</t>
        </is>
      </c>
      <c r="L6" s="38" t="inlineStr">
        <is>
          <t>Solo preparazione, non conta come volume.</t>
        </is>
      </c>
      <c r="M6" s="36" t="n">
        <v>4</v>
      </c>
    </row>
    <row r="7" ht="42" customHeight="1">
      <c r="A7" s="36" t="n">
        <v>2</v>
      </c>
      <c r="B7" s="38" t="inlineStr">
        <is>
          <t>Pulldown corda</t>
        </is>
      </c>
      <c r="C7" s="38" t="inlineStr">
        <is>
          <t>Cavo alto + corda</t>
        </is>
      </c>
      <c r="D7" s="36" t="n">
        <v>2</v>
      </c>
      <c r="E7" s="36" t="inlineStr">
        <is>
          <t>15</t>
        </is>
      </c>
      <c r="F7" s="36" t="inlineStr">
        <is>
          <t>1</t>
        </is>
      </c>
      <c r="G7" s="36" t="n">
        <v>90</v>
      </c>
      <c r="H7" s="36" t="n">
        <v>45</v>
      </c>
      <c r="I7" s="36" t="n">
        <v>60</v>
      </c>
      <c r="J7" s="48">
        <f>IF(M7&lt;&gt;"",M7,ROUND((D7*H7+MAX(0,D7-1)*G7+I7)/60,1))</f>
        <v/>
      </c>
      <c r="K7" s="38" t="inlineStr">
        <is>
          <t>Pulldown braccia tese</t>
        </is>
      </c>
      <c r="L7" s="38" t="inlineStr">
        <is>
          <t>Tensione continua; non trasformarlo in un esercizio di braccia.</t>
        </is>
      </c>
      <c r="M7" s="36" t="n"/>
    </row>
    <row r="8" ht="42" customHeight="1">
      <c r="A8" s="36" t="n">
        <v>3</v>
      </c>
      <c r="B8" s="38" t="inlineStr">
        <is>
          <t>T-bar row machine pacco pesi</t>
        </is>
      </c>
      <c r="C8" s="38" t="inlineStr">
        <is>
          <t>Matrix selectorized</t>
        </is>
      </c>
      <c r="D8" s="36" t="n">
        <v>2</v>
      </c>
      <c r="E8" s="36" t="inlineStr">
        <is>
          <t>6-10</t>
        </is>
      </c>
      <c r="F8" s="36" t="inlineStr">
        <is>
          <t>1</t>
        </is>
      </c>
      <c r="G8" s="36" t="n">
        <v>180</v>
      </c>
      <c r="H8" s="36" t="n">
        <v>40</v>
      </c>
      <c r="I8" s="36" t="n">
        <v>90</v>
      </c>
      <c r="J8" s="48">
        <f>IF(M8&lt;&gt;"",M8,ROUND((D8*H8+MAX(0,D8-1)*G8+I8)/60,1))</f>
        <v/>
      </c>
      <c r="K8" s="38" t="inlineStr">
        <is>
          <t>T-bar plate-loaded</t>
        </is>
      </c>
      <c r="L8" s="38" t="inlineStr">
        <is>
          <t>3 min pieni. Aumenta solo quando entrambe le serie sono nella parte alta del range.</t>
        </is>
      </c>
      <c r="M8" s="36" t="n"/>
    </row>
    <row r="9" ht="42" customHeight="1">
      <c r="A9" s="36" t="n">
        <v>4</v>
      </c>
      <c r="B9" s="38" t="inlineStr">
        <is>
          <t>High row machine</t>
        </is>
      </c>
      <c r="C9" s="38" t="inlineStr">
        <is>
          <t>Matrix high row</t>
        </is>
      </c>
      <c r="D9" s="36" t="n">
        <v>2</v>
      </c>
      <c r="E9" s="36" t="inlineStr">
        <is>
          <t>6-10</t>
        </is>
      </c>
      <c r="F9" s="36" t="inlineStr">
        <is>
          <t>1</t>
        </is>
      </c>
      <c r="G9" s="36" t="n">
        <v>180</v>
      </c>
      <c r="H9" s="36" t="n">
        <v>40</v>
      </c>
      <c r="I9" s="36" t="n">
        <v>90</v>
      </c>
      <c r="J9" s="48">
        <f>IF(M9&lt;&gt;"",M9,ROUND((D9*H9+MAX(0,D9-1)*G9+I9)/60,1))</f>
        <v/>
      </c>
      <c r="K9" s="38" t="inlineStr">
        <is>
          <t>High row plate-loaded</t>
        </is>
      </c>
      <c r="L9" s="38" t="inlineStr">
        <is>
          <t>Riferimento Upper: 60 kg x 10 / 7. Mantieni 60 finche la seconda sale almeno a 8 con 3 min pieni.</t>
        </is>
      </c>
      <c r="M9" s="36" t="n"/>
    </row>
    <row r="10" ht="42" customHeight="1">
      <c r="A10" s="36" t="n">
        <v>5</v>
      </c>
      <c r="B10" s="38" t="inlineStr">
        <is>
          <t>Pulley</t>
        </is>
      </c>
      <c r="C10" s="38" t="inlineStr">
        <is>
          <t>Matrix + presa preferita</t>
        </is>
      </c>
      <c r="D10" s="36" t="n">
        <v>2</v>
      </c>
      <c r="E10" s="36" t="inlineStr">
        <is>
          <t>10</t>
        </is>
      </c>
      <c r="F10" s="36" t="inlineStr">
        <is>
          <t>1</t>
        </is>
      </c>
      <c r="G10" s="36" t="n">
        <v>150</v>
      </c>
      <c r="H10" s="36" t="n">
        <v>40</v>
      </c>
      <c r="I10" s="36" t="n">
        <v>60</v>
      </c>
      <c r="J10" s="48">
        <f>IF(M10&lt;&gt;"",M10,ROUND((D10*H10+MAX(0,D10-1)*G10+I10)/60,1))</f>
        <v/>
      </c>
      <c r="K10" s="38" t="inlineStr">
        <is>
          <t>Presa stretta</t>
        </is>
      </c>
      <c r="L10" s="38" t="inlineStr">
        <is>
          <t>Due serie da 10 pulite; se la seconda crolla, non aumentare il carico.</t>
        </is>
      </c>
      <c r="M10" s="36" t="n"/>
    </row>
    <row r="11" ht="42" customHeight="1">
      <c r="A11" s="36" t="n">
        <v>6</v>
      </c>
      <c r="B11" s="38" t="inlineStr">
        <is>
          <t>Trazioni assistite</t>
        </is>
      </c>
      <c r="C11" s="38" t="inlineStr">
        <is>
          <t>Matrix assistenza trazioni</t>
        </is>
      </c>
      <c r="D11" s="36" t="n">
        <v>1</v>
      </c>
      <c r="E11" s="36" t="inlineStr">
        <is>
          <t>MAX tecnico</t>
        </is>
      </c>
      <c r="F11" s="36" t="inlineStr">
        <is>
          <t>0-1</t>
        </is>
      </c>
      <c r="G11" s="36" t="n">
        <v>150</v>
      </c>
      <c r="H11" s="36" t="n">
        <v>45</v>
      </c>
      <c r="I11" s="36" t="n">
        <v>60</v>
      </c>
      <c r="J11" s="48">
        <f>IF(M11&lt;&gt;"",M11,ROUND((D11*H11+MAX(0,D11-1)*G11+I11)/60,1))</f>
        <v/>
      </c>
      <c r="K11" s="38" t="inlineStr">
        <is>
          <t>Lat machine</t>
        </is>
      </c>
      <c r="L11" s="38" t="inlineStr">
        <is>
          <t>Una sola serie finale: fermati quando perdi ROM o controllo scapolare.</t>
        </is>
      </c>
      <c r="M11" s="36" t="n"/>
    </row>
    <row r="12" ht="42" customHeight="1">
      <c r="A12" s="36" t="n">
        <v>7</v>
      </c>
      <c r="B12" s="38" t="inlineStr">
        <is>
          <t>Curl manubrio singolo alla Scott al contrario</t>
        </is>
      </c>
      <c r="C12" s="38" t="inlineStr">
        <is>
          <t>Panca Scott + manubrio</t>
        </is>
      </c>
      <c r="D12" s="36" t="n">
        <v>2</v>
      </c>
      <c r="E12" s="36" t="inlineStr">
        <is>
          <t>6</t>
        </is>
      </c>
      <c r="F12" s="36" t="inlineStr">
        <is>
          <t>0-1</t>
        </is>
      </c>
      <c r="G12" s="36" t="n">
        <v>120</v>
      </c>
      <c r="H12" s="36" t="n">
        <v>40</v>
      </c>
      <c r="I12" s="36" t="n">
        <v>60</v>
      </c>
      <c r="J12" s="48">
        <f>IF(M12&lt;&gt;"",M12,ROUND((D12*H12+MAX(0,D12-1)*G12+I12)/60,1))</f>
        <v/>
      </c>
      <c r="K12" s="38" t="inlineStr">
        <is>
          <t>Curl Scott unilaterale</t>
        </is>
      </c>
      <c r="L12" s="38" t="inlineStr">
        <is>
          <t>Due serie pesanti da 6 per lato, senza slancio.</t>
        </is>
      </c>
      <c r="M12" s="36" t="n"/>
    </row>
    <row r="13" ht="42" customHeight="1">
      <c r="A13" s="36" t="n">
        <v>8</v>
      </c>
      <c r="B13" s="38" t="inlineStr">
        <is>
          <t>Hammer curl al cavo</t>
        </is>
      </c>
      <c r="C13" s="38" t="inlineStr">
        <is>
          <t>Cavo + corda</t>
        </is>
      </c>
      <c r="D13" s="36" t="n">
        <v>1</v>
      </c>
      <c r="E13" s="36" t="inlineStr">
        <is>
          <t>MAX tecnico</t>
        </is>
      </c>
      <c r="F13" s="36" t="inlineStr">
        <is>
          <t>0-1</t>
        </is>
      </c>
      <c r="G13" s="36" t="n">
        <v>90</v>
      </c>
      <c r="H13" s="36" t="n">
        <v>45</v>
      </c>
      <c r="I13" s="36" t="n">
        <v>45</v>
      </c>
      <c r="J13" s="48">
        <f>IF(M13&lt;&gt;"",M13,ROUND((D13*H13+MAX(0,D13-1)*G13+I13)/60,1))</f>
        <v/>
      </c>
      <c r="K13" s="38" t="inlineStr">
        <is>
          <t>Hammer manubri</t>
        </is>
      </c>
      <c r="L13" s="38" t="inlineStr">
        <is>
          <t>Una serie finale a massimo tecnico.</t>
        </is>
      </c>
      <c r="M13" s="36" t="n"/>
    </row>
    <row r="15">
      <c r="H15" s="49" t="inlineStr">
        <is>
          <t>Totale seduta</t>
        </is>
      </c>
      <c r="I15" s="49" t="inlineStr">
        <is>
          <t>min</t>
        </is>
      </c>
      <c r="J15" s="49">
        <f>ROUND(SUM(J6:J13),1)</f>
        <v/>
      </c>
      <c r="K15" s="49" t="inlineStr">
        <is>
          <t>Target 30-50</t>
        </is>
      </c>
      <c r="L15" s="49">
        <f>IF(AND(J15&gt;=30,J15&lt;=50),"OK","RIVEDERE")</f>
        <v/>
      </c>
    </row>
    <row r="17" ht="34" customHeight="1">
      <c r="A17" s="50" t="inlineStr">
        <is>
          <t>Regola chiave</t>
        </is>
      </c>
      <c r="B17" s="51" t="inlineStr">
        <is>
          <t>Struttura personale mantenuta: 2 set sui movimenti principali, 1 set finale sulle trazioni assistite e hammer. Recupera 3 min sui row.</t>
        </is>
      </c>
    </row>
  </sheetData>
  <autoFilter ref="A5:L13"/>
  <mergeCells count="3">
    <mergeCell ref="A2:M2"/>
    <mergeCell ref="B17:L17"/>
    <mergeCell ref="A1:M1"/>
  </mergeCells>
  <conditionalFormatting sqref="J15">
    <cfRule type="cellIs" priority="1" operator="between" dxfId="1">
      <formula>45</formula>
      <formula>60</formula>
    </cfRule>
    <cfRule type="cellIs" priority="2" operator="lessThan" dxfId="2">
      <formula>45</formula>
    </cfRule>
    <cfRule type="cellIs" priority="3" operator="greaterThan" dxfId="2">
      <formula>60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28" customWidth="1" min="3" max="3"/>
    <col width="8" customWidth="1" min="4" max="4"/>
    <col width="14" customWidth="1" min="5" max="5"/>
    <col width="8" customWidth="1" min="6" max="6"/>
    <col width="14" customWidth="1" min="7" max="7"/>
    <col width="11" customWidth="1" min="8" max="8"/>
    <col width="16" customWidth="1" min="9" max="9"/>
    <col width="12" customWidth="1" min="10" max="10"/>
    <col width="28" customWidth="1" min="11" max="11"/>
    <col width="44" customWidth="1" min="12" max="12"/>
    <col hidden="1" width="15" customWidth="1" min="13" max="13"/>
  </cols>
  <sheetData>
    <row r="1" ht="28" customHeight="1">
      <c r="A1" s="32" t="inlineStr">
        <is>
          <t>LEGS - tua impostazione low volume</t>
        </is>
      </c>
    </row>
    <row r="2" ht="32" customHeight="1">
      <c r="A2" s="33" t="inlineStr">
        <is>
          <t>Quad focus come lo preferisci: Pendulum + pressa + extension, poi femorali. Terza extension solo opzionale quando recupero e panca sono buoni.</t>
        </is>
      </c>
    </row>
    <row r="3">
      <c r="A3" s="45" t="inlineStr">
        <is>
          <t>Settimana selezionata</t>
        </is>
      </c>
      <c r="B3" s="46">
        <f>INIZIO!$B$10</f>
        <v/>
      </c>
    </row>
    <row r="5" ht="34" customHeight="1">
      <c r="A5" s="34" t="inlineStr">
        <is>
          <t>#</t>
        </is>
      </c>
      <c r="B5" s="34" t="inlineStr">
        <is>
          <t>Esercizio</t>
        </is>
      </c>
      <c r="C5" s="34" t="inlineStr">
        <is>
          <t>Attrezzo / setup</t>
        </is>
      </c>
      <c r="D5" s="34" t="inlineStr">
        <is>
          <t>Serie</t>
        </is>
      </c>
      <c r="E5" s="34" t="inlineStr">
        <is>
          <t>Ripetizioni</t>
        </is>
      </c>
      <c r="F5" s="34" t="inlineStr">
        <is>
          <t>RIR</t>
        </is>
      </c>
      <c r="G5" s="34" t="inlineStr">
        <is>
          <t>Recupero (s)</t>
        </is>
      </c>
      <c r="H5" s="34" t="inlineStr">
        <is>
          <t>Sec/serie</t>
        </is>
      </c>
      <c r="I5" s="34" t="inlineStr">
        <is>
          <t>Setup/cambio (s)</t>
        </is>
      </c>
      <c r="J5" s="34" t="inlineStr">
        <is>
          <t>Min stimati</t>
        </is>
      </c>
      <c r="K5" s="34" t="inlineStr">
        <is>
          <t>Alternativa</t>
        </is>
      </c>
      <c r="L5" s="34" t="inlineStr">
        <is>
          <t>Note</t>
        </is>
      </c>
      <c r="M5" s="34" t="inlineStr">
        <is>
          <t>Durata fissa (min)</t>
        </is>
      </c>
    </row>
    <row r="6" ht="42" customHeight="1">
      <c r="A6" s="36" t="n">
        <v>1</v>
      </c>
      <c r="B6" s="38" t="inlineStr">
        <is>
          <t>Riscaldamento generale</t>
        </is>
      </c>
      <c r="C6" s="38" t="inlineStr">
        <is>
          <t>Anche/caviglie + serie leggere</t>
        </is>
      </c>
      <c r="D6" s="36" t="n"/>
      <c r="E6" s="36" t="inlineStr">
        <is>
          <t>5 min</t>
        </is>
      </c>
      <c r="F6" s="36" t="inlineStr">
        <is>
          <t>-</t>
        </is>
      </c>
      <c r="G6" s="36" t="n"/>
      <c r="H6" s="36" t="n"/>
      <c r="I6" s="36" t="n"/>
      <c r="J6" s="48">
        <f>IF(M6&lt;&gt;"",M6,ROUND((D6*H6+MAX(0,D6-1)*G6+I6)/60,1))</f>
        <v/>
      </c>
      <c r="K6" s="38" t="inlineStr">
        <is>
          <t>-</t>
        </is>
      </c>
      <c r="L6" s="38" t="inlineStr">
        <is>
          <t>Avvicinamento progressivo al Pendulum.</t>
        </is>
      </c>
      <c r="M6" s="36" t="n">
        <v>5</v>
      </c>
    </row>
    <row r="7" ht="42" customHeight="1">
      <c r="A7" s="36" t="n">
        <v>2</v>
      </c>
      <c r="B7" s="38" t="inlineStr">
        <is>
          <t>Pendulum squat</t>
        </is>
      </c>
      <c r="C7" s="38" t="inlineStr">
        <is>
          <t>Pendulum squat</t>
        </is>
      </c>
      <c r="D7" s="36" t="n">
        <v>2</v>
      </c>
      <c r="E7" s="36" t="inlineStr">
        <is>
          <t>8</t>
        </is>
      </c>
      <c r="F7" s="36" t="inlineStr">
        <is>
          <t>1</t>
        </is>
      </c>
      <c r="G7" s="36" t="n">
        <v>180</v>
      </c>
      <c r="H7" s="36" t="n">
        <v>50</v>
      </c>
      <c r="I7" s="36" t="n">
        <v>120</v>
      </c>
      <c r="J7" s="48">
        <f>IF(M7&lt;&gt;"",M7,ROUND((D7*H7+MAX(0,D7-1)*G7+I7)/60,1))</f>
        <v/>
      </c>
      <c r="K7" s="38" t="inlineStr">
        <is>
          <t>Perfect squat / belt squat</t>
        </is>
      </c>
      <c r="L7" s="38" t="inlineStr">
        <is>
          <t>2 x 8. Quando entrambe sono solide con margine tecnico, aumenta il carico.</t>
        </is>
      </c>
      <c r="M7" s="36" t="n"/>
    </row>
    <row r="8" ht="42" customHeight="1">
      <c r="A8" s="36" t="n">
        <v>3</v>
      </c>
      <c r="B8" s="38" t="inlineStr">
        <is>
          <t>Pressa 45 gradi carico dischi</t>
        </is>
      </c>
      <c r="C8" s="38" t="inlineStr">
        <is>
          <t>Pressa 45 gradi plate-loaded</t>
        </is>
      </c>
      <c r="D8" s="36" t="n">
        <v>2</v>
      </c>
      <c r="E8" s="36" t="inlineStr">
        <is>
          <t>12</t>
        </is>
      </c>
      <c r="F8" s="36" t="inlineStr">
        <is>
          <t>1</t>
        </is>
      </c>
      <c r="G8" s="36" t="n">
        <v>180</v>
      </c>
      <c r="H8" s="36" t="n">
        <v>55</v>
      </c>
      <c r="I8" s="36" t="n">
        <v>90</v>
      </c>
      <c r="J8" s="48">
        <f>IF(M8&lt;&gt;"",M8,ROUND((D8*H8+MAX(0,D8-1)*G8+I8)/60,1))</f>
        <v/>
      </c>
      <c r="K8" s="38" t="inlineStr">
        <is>
          <t>Pressa orizzontale</t>
        </is>
      </c>
      <c r="L8" s="38" t="inlineStr">
        <is>
          <t>2 x 12, bacino stabile e ROM costante.</t>
        </is>
      </c>
      <c r="M8" s="36" t="n"/>
    </row>
    <row r="9" ht="42" customHeight="1">
      <c r="A9" s="36" t="n">
        <v>4</v>
      </c>
      <c r="B9" s="38" t="inlineStr">
        <is>
          <t>Leg extension massima inclinazione</t>
        </is>
      </c>
      <c r="C9" s="38" t="inlineStr">
        <is>
          <t>Leg extension inclinabile</t>
        </is>
      </c>
      <c r="D9" s="36" t="n">
        <v>2</v>
      </c>
      <c r="E9" s="36" t="inlineStr">
        <is>
          <t>12</t>
        </is>
      </c>
      <c r="F9" s="36" t="inlineStr">
        <is>
          <t>0-1</t>
        </is>
      </c>
      <c r="G9" s="36" t="n">
        <v>90</v>
      </c>
      <c r="H9" s="36" t="n">
        <v>45</v>
      </c>
      <c r="I9" s="36" t="n">
        <v>60</v>
      </c>
      <c r="J9" s="48">
        <f>IF(M9&lt;&gt;"",M9,ROUND((D9*H9+MAX(0,D9-1)*G9+I9)/60,1))</f>
        <v/>
      </c>
      <c r="K9" s="38" t="inlineStr">
        <is>
          <t>Leg extension pacco pesi</t>
        </is>
      </c>
      <c r="L9" s="38" t="inlineStr">
        <is>
          <t>2 set base. Terza serie opzionale solo se sei fresco; niente terza in W4/W7/W8/W9.</t>
        </is>
      </c>
      <c r="M9" s="36" t="n"/>
    </row>
    <row r="10" ht="42" customHeight="1">
      <c r="A10" s="36" t="n">
        <v>5</v>
      </c>
      <c r="B10" s="38" t="inlineStr">
        <is>
          <t>Leg curl carico dischi</t>
        </is>
      </c>
      <c r="C10" s="38" t="inlineStr">
        <is>
          <t>Leg curl plate-loaded</t>
        </is>
      </c>
      <c r="D10" s="36" t="n">
        <v>2</v>
      </c>
      <c r="E10" s="36" t="inlineStr">
        <is>
          <t>10</t>
        </is>
      </c>
      <c r="F10" s="36" t="inlineStr">
        <is>
          <t>0-1</t>
        </is>
      </c>
      <c r="G10" s="36" t="n">
        <v>120</v>
      </c>
      <c r="H10" s="36" t="n">
        <v>45</v>
      </c>
      <c r="I10" s="36" t="n">
        <v>60</v>
      </c>
      <c r="J10" s="48">
        <f>IF(M10&lt;&gt;"",M10,ROUND((D10*H10+MAX(0,D10-1)*G10+I10)/60,1))</f>
        <v/>
      </c>
      <c r="K10" s="38" t="inlineStr">
        <is>
          <t>Leg curl pacco pesi</t>
        </is>
      </c>
      <c r="L10" s="38" t="inlineStr">
        <is>
          <t>2 x 10 controllate, allungamento pieno.</t>
        </is>
      </c>
      <c r="M10" s="36" t="n"/>
    </row>
    <row r="11" ht="42" customHeight="1">
      <c r="A11" s="36" t="n">
        <v>6</v>
      </c>
      <c r="B11" s="38" t="inlineStr">
        <is>
          <t>Standing leg curl</t>
        </is>
      </c>
      <c r="C11" s="38" t="inlineStr">
        <is>
          <t>Matrix standing leg curl</t>
        </is>
      </c>
      <c r="D11" s="36" t="n">
        <v>1</v>
      </c>
      <c r="E11" s="36" t="inlineStr">
        <is>
          <t>15 / lato</t>
        </is>
      </c>
      <c r="F11" s="36" t="inlineStr">
        <is>
          <t>0-1</t>
        </is>
      </c>
      <c r="G11" s="36" t="n">
        <v>75</v>
      </c>
      <c r="H11" s="36" t="n">
        <v>45</v>
      </c>
      <c r="I11" s="36" t="n">
        <v>60</v>
      </c>
      <c r="J11" s="48">
        <f>IF(M11&lt;&gt;"",M11,ROUND((D11*H11+MAX(0,D11-1)*G11+I11)/60,1))</f>
        <v/>
      </c>
      <c r="K11" s="38" t="inlineStr">
        <is>
          <t>Leg curl unilaterale</t>
        </is>
      </c>
      <c r="L11" s="38" t="inlineStr">
        <is>
          <t>Una serie per lato, tecnica pulita.</t>
        </is>
      </c>
      <c r="M11" s="36" t="n"/>
    </row>
    <row r="12" ht="42" customHeight="1">
      <c r="A12" s="36" t="n">
        <v>7</v>
      </c>
      <c r="B12" s="38" t="inlineStr">
        <is>
          <t>Abductor</t>
        </is>
      </c>
      <c r="C12" s="38" t="inlineStr">
        <is>
          <t>Matrix abductor</t>
        </is>
      </c>
      <c r="D12" s="36" t="n">
        <v>1</v>
      </c>
      <c r="E12" s="36" t="inlineStr">
        <is>
          <t>20</t>
        </is>
      </c>
      <c r="F12" s="36" t="inlineStr">
        <is>
          <t>0-1</t>
        </is>
      </c>
      <c r="G12" s="36" t="n">
        <v>60</v>
      </c>
      <c r="H12" s="36" t="n">
        <v>45</v>
      </c>
      <c r="I12" s="36" t="n">
        <v>45</v>
      </c>
      <c r="J12" s="48">
        <f>IF(M12&lt;&gt;"",M12,ROUND((D12*H12+MAX(0,D12-1)*G12+I12)/60,1))</f>
        <v/>
      </c>
      <c r="K12" s="38" t="inlineStr">
        <is>
          <t>-</t>
        </is>
      </c>
      <c r="L12" s="38" t="inlineStr">
        <is>
          <t>Una serie da 20 controllata.</t>
        </is>
      </c>
      <c r="M12" s="36" t="n"/>
    </row>
    <row r="13" ht="42" customHeight="1">
      <c r="A13" s="36" t="n"/>
      <c r="B13" s="38" t="n"/>
      <c r="C13" s="38" t="n"/>
      <c r="D13" s="36" t="n"/>
      <c r="E13" s="36" t="n"/>
      <c r="F13" s="36" t="n"/>
      <c r="G13" s="36" t="n"/>
      <c r="H13" s="36" t="n"/>
      <c r="I13" s="36" t="n"/>
      <c r="J13" s="48" t="n"/>
      <c r="K13" s="38" t="n"/>
      <c r="L13" s="38" t="n"/>
      <c r="M13" s="36" t="n"/>
    </row>
    <row r="15">
      <c r="H15" s="49" t="inlineStr">
        <is>
          <t>Totale seduta</t>
        </is>
      </c>
      <c r="I15" s="49" t="inlineStr">
        <is>
          <t>min</t>
        </is>
      </c>
      <c r="J15" s="49">
        <f>ROUND(SUM(J6:J13),1)</f>
        <v/>
      </c>
      <c r="K15" s="49" t="inlineStr">
        <is>
          <t>Target 25-45</t>
        </is>
      </c>
      <c r="L15" s="49">
        <f>IF(AND(J15&gt;=25,J15&lt;=45),"OK","RIVEDERE")</f>
        <v/>
      </c>
    </row>
    <row r="17" ht="34" customHeight="1">
      <c r="A17" s="50" t="inlineStr">
        <is>
          <t>Regola chiave</t>
        </is>
      </c>
      <c r="B17" s="51" t="inlineStr">
        <is>
          <t>Mantieni questa struttura finche progredisci. La terza serie di leg extension e un bonus, non un obbligo.</t>
        </is>
      </c>
    </row>
  </sheetData>
  <autoFilter ref="A5:L13"/>
  <mergeCells count="3">
    <mergeCell ref="A2:M2"/>
    <mergeCell ref="B17:L17"/>
    <mergeCell ref="A1:M1"/>
  </mergeCells>
  <conditionalFormatting sqref="J15">
    <cfRule type="cellIs" priority="1" operator="between" dxfId="1">
      <formula>45</formula>
      <formula>60</formula>
    </cfRule>
    <cfRule type="cellIs" priority="2" operator="lessThan" dxfId="2">
      <formula>45</formula>
    </cfRule>
    <cfRule type="cellIs" priority="3" operator="greaterThan" dxfId="2">
      <formula>60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28" customWidth="1" min="3" max="3"/>
    <col width="8" customWidth="1" min="4" max="4"/>
    <col width="14" customWidth="1" min="5" max="5"/>
    <col width="8" customWidth="1" min="6" max="6"/>
    <col width="14" customWidth="1" min="7" max="7"/>
    <col width="11" customWidth="1" min="8" max="8"/>
    <col width="16" customWidth="1" min="9" max="9"/>
    <col width="12" customWidth="1" min="10" max="10"/>
    <col width="28" customWidth="1" min="11" max="11"/>
    <col width="44" customWidth="1" min="12" max="12"/>
    <col hidden="1" width="15" customWidth="1" min="13" max="13"/>
  </cols>
  <sheetData>
    <row r="1" ht="28" customHeight="1">
      <c r="A1" s="32" t="inlineStr">
        <is>
          <t>UPPER - panca B + dorso essenziale</t>
        </is>
      </c>
    </row>
    <row r="2" ht="32" customHeight="1">
      <c r="A2" s="33" t="inlineStr">
        <is>
          <t>Panca B con fermo reale 2 s e recuperi lunghi. Poi solo lavoro utile: high row, lat machine e due isolamenti leggeri per le spalle.</t>
        </is>
      </c>
    </row>
    <row r="3">
      <c r="A3" s="45" t="inlineStr">
        <is>
          <t>Settimana selezionata</t>
        </is>
      </c>
      <c r="B3" s="46">
        <f>INIZIO!$B$10</f>
        <v/>
      </c>
      <c r="D3" s="45" t="inlineStr">
        <is>
          <t>Panca della settimana</t>
        </is>
      </c>
      <c r="E3" s="47">
        <f>INDEX('Piano 9 settimane'!$H$5:$H$13,INIZIO!$B$10)</f>
        <v/>
      </c>
    </row>
    <row r="5" ht="34" customHeight="1">
      <c r="A5" s="34" t="inlineStr">
        <is>
          <t>#</t>
        </is>
      </c>
      <c r="B5" s="34" t="inlineStr">
        <is>
          <t>Esercizio</t>
        </is>
      </c>
      <c r="C5" s="34" t="inlineStr">
        <is>
          <t>Attrezzo / setup</t>
        </is>
      </c>
      <c r="D5" s="34" t="inlineStr">
        <is>
          <t>Serie</t>
        </is>
      </c>
      <c r="E5" s="34" t="inlineStr">
        <is>
          <t>Ripetizioni</t>
        </is>
      </c>
      <c r="F5" s="34" t="inlineStr">
        <is>
          <t>RIR</t>
        </is>
      </c>
      <c r="G5" s="34" t="inlineStr">
        <is>
          <t>Recupero (s)</t>
        </is>
      </c>
      <c r="H5" s="34" t="inlineStr">
        <is>
          <t>Sec/serie</t>
        </is>
      </c>
      <c r="I5" s="34" t="inlineStr">
        <is>
          <t>Setup/cambio (s)</t>
        </is>
      </c>
      <c r="J5" s="34" t="inlineStr">
        <is>
          <t>Min stimati</t>
        </is>
      </c>
      <c r="K5" s="34" t="inlineStr">
        <is>
          <t>Alternativa</t>
        </is>
      </c>
      <c r="L5" s="34" t="inlineStr">
        <is>
          <t>Note</t>
        </is>
      </c>
      <c r="M5" s="34" t="inlineStr">
        <is>
          <t>Durata fissa (min)</t>
        </is>
      </c>
    </row>
    <row r="6" ht="42" customHeight="1">
      <c r="A6" s="36" t="n">
        <v>1</v>
      </c>
      <c r="B6" s="38" t="inlineStr">
        <is>
          <t>Preparazione spalle/scapole</t>
        </is>
      </c>
      <c r="C6" s="38" t="inlineStr">
        <is>
          <t>Cavo leggero + mobilita</t>
        </is>
      </c>
      <c r="D6" s="36" t="n"/>
      <c r="E6" s="36" t="inlineStr">
        <is>
          <t>2-3 min</t>
        </is>
      </c>
      <c r="F6" s="36" t="inlineStr">
        <is>
          <t>-</t>
        </is>
      </c>
      <c r="G6" s="36" t="n"/>
      <c r="H6" s="36" t="n"/>
      <c r="I6" s="36" t="n"/>
      <c r="J6" s="48">
        <f>IF(M6&lt;&gt;"",M6,ROUND((D6*H6+MAX(0,D6-1)*G6+I6)/60,1))</f>
        <v/>
      </c>
      <c r="K6" s="38" t="inlineStr">
        <is>
          <t>-</t>
        </is>
      </c>
      <c r="L6" s="38" t="inlineStr">
        <is>
          <t>Solo attivazione; non affaticante.</t>
        </is>
      </c>
      <c r="M6" s="36" t="n">
        <v>3</v>
      </c>
    </row>
    <row r="7" ht="42" customHeight="1">
      <c r="A7" s="36" t="n">
        <v>2</v>
      </c>
      <c r="B7" s="38" t="inlineStr">
        <is>
          <t>Panca piana - Protocollo B</t>
        </is>
      </c>
      <c r="C7" s="38" t="inlineStr">
        <is>
          <t>Panca piana + bilanciere</t>
        </is>
      </c>
      <c r="D7" s="36" t="n"/>
      <c r="E7" s="36" t="inlineStr">
        <is>
          <t>2 serie con fermo 2 s</t>
        </is>
      </c>
      <c r="F7" s="36" t="inlineStr">
        <is>
          <t>Da piano</t>
        </is>
      </c>
      <c r="G7" s="36" t="n"/>
      <c r="H7" s="36" t="n"/>
      <c r="I7" s="36" t="n"/>
      <c r="J7" s="48">
        <f>IF(M7&lt;&gt;"",M7,ROUND((D7*H7+MAX(0,D7-1)*G7+I7)/60,1))</f>
        <v/>
      </c>
      <c r="K7" s="38" t="inlineStr">
        <is>
          <t>Nessuna</t>
        </is>
      </c>
      <c r="L7" s="38" t="inlineStr">
        <is>
          <t>W3: 115 kg 2 x 4. Recupero 4:00 pieno; anche 5:00 se la prima serie e piu dura del previsto.</t>
        </is>
      </c>
      <c r="M7" s="36" t="n">
        <v>16</v>
      </c>
    </row>
    <row r="8" ht="42" customHeight="1">
      <c r="A8" s="36" t="n">
        <v>3</v>
      </c>
      <c r="B8" s="38" t="inlineStr">
        <is>
          <t>High row</t>
        </is>
      </c>
      <c r="C8" s="38" t="inlineStr">
        <is>
          <t>Matrix high row</t>
        </is>
      </c>
      <c r="D8" s="36" t="n">
        <v>2</v>
      </c>
      <c r="E8" s="36" t="inlineStr">
        <is>
          <t>6-10</t>
        </is>
      </c>
      <c r="F8" s="36" t="inlineStr">
        <is>
          <t>1</t>
        </is>
      </c>
      <c r="G8" s="36" t="n">
        <v>180</v>
      </c>
      <c r="H8" s="36" t="n">
        <v>40</v>
      </c>
      <c r="I8" s="36" t="n">
        <v>90</v>
      </c>
      <c r="J8" s="48">
        <f>IF(M8&lt;&gt;"",M8,ROUND((D8*H8+MAX(0,D8-1)*G8+I8)/60,1))</f>
        <v/>
      </c>
      <c r="K8" s="38" t="inlineStr">
        <is>
          <t>T-bar row</t>
        </is>
      </c>
      <c r="L8" s="38" t="inlineStr">
        <is>
          <t>Riferimento: 60 kg x 10 / 7. Mantieni 60 e cerca almeno 10 / 8 con 3 min pieni.</t>
        </is>
      </c>
      <c r="M8" s="36" t="n"/>
    </row>
    <row r="9" ht="42" customHeight="1">
      <c r="A9" s="36" t="n">
        <v>4</v>
      </c>
      <c r="B9" s="38" t="inlineStr">
        <is>
          <t>Lat machine - top + back-off</t>
        </is>
      </c>
      <c r="C9" s="38" t="inlineStr">
        <is>
          <t>Matrix lat machine</t>
        </is>
      </c>
      <c r="D9" s="36" t="n">
        <v>2</v>
      </c>
      <c r="E9" s="36" t="inlineStr">
        <is>
          <t>Top 6-9 / back-off 8-12</t>
        </is>
      </c>
      <c r="F9" s="36" t="inlineStr">
        <is>
          <t>1</t>
        </is>
      </c>
      <c r="G9" s="36" t="n">
        <v>180</v>
      </c>
      <c r="H9" s="36" t="n">
        <v>40</v>
      </c>
      <c r="I9" s="36" t="n">
        <v>60</v>
      </c>
      <c r="J9" s="48">
        <f>IF(M9&lt;&gt;"",M9,ROUND((D9*H9+MAX(0,D9-1)*G9+I9)/60,1))</f>
        <v/>
      </c>
      <c r="K9" s="38" t="inlineStr">
        <is>
          <t>Trazioni assistite</t>
        </is>
      </c>
      <c r="L9" s="38" t="inlineStr">
        <is>
          <t>Riferimento: 95 x 8; poi 86 x 7 / 9. Nuovo schema: S1 95 kg 6-9, S2 86 kg 8-12, 3 min.</t>
        </is>
      </c>
      <c r="M9" s="36" t="n"/>
    </row>
    <row r="10" ht="42" customHeight="1">
      <c r="A10" s="36" t="n">
        <v>5</v>
      </c>
      <c r="B10" s="38" t="inlineStr">
        <is>
          <t>Reverse pec deck</t>
        </is>
      </c>
      <c r="C10" s="38" t="inlineStr">
        <is>
          <t>Matrix</t>
        </is>
      </c>
      <c r="D10" s="36" t="n">
        <v>2</v>
      </c>
      <c r="E10" s="36" t="inlineStr">
        <is>
          <t>12-20</t>
        </is>
      </c>
      <c r="F10" s="36" t="inlineStr">
        <is>
          <t>0-1</t>
        </is>
      </c>
      <c r="G10" s="36" t="n">
        <v>75</v>
      </c>
      <c r="H10" s="36" t="n">
        <v>45</v>
      </c>
      <c r="I10" s="36" t="n">
        <v>45</v>
      </c>
      <c r="J10" s="48">
        <f>IF(M10&lt;&gt;"",M10,ROUND((D10*H10+MAX(0,D10-1)*G10+I10)/60,1))</f>
        <v/>
      </c>
      <c r="K10" s="38" t="inlineStr">
        <is>
          <t>Croci inverse ai cavi</t>
        </is>
      </c>
      <c r="L10" s="38" t="inlineStr">
        <is>
          <t>Deltoidi posteriori, controllo completo.</t>
        </is>
      </c>
      <c r="M10" s="36" t="n"/>
    </row>
    <row r="11" ht="42" customHeight="1">
      <c r="A11" s="36" t="n">
        <v>6</v>
      </c>
      <c r="B11" s="38" t="inlineStr">
        <is>
          <t>Alzate laterali</t>
        </is>
      </c>
      <c r="C11" s="38" t="inlineStr">
        <is>
          <t>Cavo singolo o manubri</t>
        </is>
      </c>
      <c r="D11" s="36" t="n">
        <v>2</v>
      </c>
      <c r="E11" s="36" t="inlineStr">
        <is>
          <t>12-20</t>
        </is>
      </c>
      <c r="F11" s="36" t="inlineStr">
        <is>
          <t>0-1</t>
        </is>
      </c>
      <c r="G11" s="36" t="n">
        <v>75</v>
      </c>
      <c r="H11" s="36" t="n">
        <v>45</v>
      </c>
      <c r="I11" s="36" t="n">
        <v>60</v>
      </c>
      <c r="J11" s="48">
        <f>IF(M11&lt;&gt;"",M11,ROUND((D11*H11+MAX(0,D11-1)*G11+I11)/60,1))</f>
        <v/>
      </c>
      <c r="K11" s="38" t="inlineStr">
        <is>
          <t>Manubri / cavo</t>
        </is>
      </c>
      <c r="L11" s="38" t="inlineStr">
        <is>
          <t>Volume leggero; se senti fatica sulla panca successiva, questo e il primo esercizio da tagliare.</t>
        </is>
      </c>
      <c r="M11" s="36" t="n"/>
    </row>
    <row r="12" ht="42" customHeight="1">
      <c r="A12" s="36" t="n"/>
      <c r="B12" s="38" t="n"/>
      <c r="C12" s="38" t="n"/>
      <c r="D12" s="36" t="n"/>
      <c r="E12" s="36" t="n"/>
      <c r="F12" s="36" t="n"/>
      <c r="G12" s="36" t="n"/>
      <c r="H12" s="36" t="n"/>
      <c r="I12" s="36" t="n"/>
      <c r="J12" s="48" t="n"/>
      <c r="K12" s="38" t="n"/>
      <c r="L12" s="38" t="n"/>
      <c r="M12" s="36" t="n"/>
    </row>
    <row r="13" ht="42" customHeight="1">
      <c r="A13" s="36" t="n"/>
      <c r="B13" s="38" t="n"/>
      <c r="C13" s="38" t="n"/>
      <c r="D13" s="36" t="n"/>
      <c r="E13" s="36" t="n"/>
      <c r="F13" s="36" t="n"/>
      <c r="G13" s="36" t="n"/>
      <c r="H13" s="36" t="n"/>
      <c r="I13" s="36" t="n"/>
      <c r="J13" s="48" t="n"/>
      <c r="K13" s="38" t="n"/>
      <c r="L13" s="38" t="n"/>
      <c r="M13" s="36" t="n"/>
    </row>
    <row r="14" ht="42" customHeight="1">
      <c r="A14" s="36" t="n"/>
      <c r="B14" s="38" t="n"/>
      <c r="C14" s="38" t="n"/>
      <c r="D14" s="36" t="n"/>
      <c r="E14" s="36" t="n"/>
      <c r="F14" s="36" t="n"/>
      <c r="G14" s="36" t="n"/>
      <c r="H14" s="36" t="n"/>
      <c r="I14" s="36" t="n"/>
      <c r="J14" s="48" t="n"/>
      <c r="K14" s="38" t="n"/>
      <c r="L14" s="38" t="n"/>
      <c r="M14" s="36" t="n"/>
    </row>
    <row r="15">
      <c r="H15" s="49" t="inlineStr">
        <is>
          <t>Totale seduta</t>
        </is>
      </c>
      <c r="I15" s="49" t="inlineStr">
        <is>
          <t>min</t>
        </is>
      </c>
      <c r="J15" s="49">
        <f>ROUND(SUM(J6:J14),1)</f>
        <v/>
      </c>
      <c r="K15" s="49" t="inlineStr">
        <is>
          <t>Target 30-45</t>
        </is>
      </c>
      <c r="L15" s="49">
        <f>IF(AND(J15&gt;=30,J15&lt;=45),"OK","RIVEDERE")</f>
        <v/>
      </c>
    </row>
    <row r="17" ht="34" customHeight="1">
      <c r="A17" s="50" t="inlineStr">
        <is>
          <t>Regola chiave</t>
        </is>
      </c>
      <c r="B17" s="51" t="inlineStr">
        <is>
          <t>Upper volutamente compatto: la panca B deve migliorare, non diventare il preludio a un secondo Push.</t>
        </is>
      </c>
    </row>
  </sheetData>
  <autoFilter ref="A5:L14"/>
  <mergeCells count="4">
    <mergeCell ref="A2:M2"/>
    <mergeCell ref="B17:L17"/>
    <mergeCell ref="A1:M1"/>
    <mergeCell ref="E3:M3"/>
  </mergeCells>
  <conditionalFormatting sqref="J15">
    <cfRule type="cellIs" priority="1" operator="between" dxfId="1">
      <formula>45</formula>
      <formula>60</formula>
    </cfRule>
    <cfRule type="cellIs" priority="2" operator="lessThan" dxfId="2">
      <formula>45</formula>
    </cfRule>
    <cfRule type="cellIs" priority="3" operator="greaterThan" dxfId="2">
      <formula>60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7" customWidth="1" min="2" max="2"/>
    <col width="28" customWidth="1" min="3" max="3"/>
    <col width="8" customWidth="1" min="4" max="4"/>
    <col width="14" customWidth="1" min="5" max="5"/>
    <col width="8" customWidth="1" min="6" max="6"/>
    <col width="14" customWidth="1" min="7" max="7"/>
    <col width="11" customWidth="1" min="8" max="8"/>
    <col width="16" customWidth="1" min="9" max="9"/>
    <col width="12" customWidth="1" min="10" max="10"/>
    <col width="28" customWidth="1" min="11" max="11"/>
    <col width="44" customWidth="1" min="12" max="12"/>
    <col hidden="1" width="15" customWidth="1" min="13" max="13"/>
  </cols>
  <sheetData>
    <row r="1" ht="28" customHeight="1">
      <c r="A1" s="32" t="inlineStr">
        <is>
          <t>LOWER - catena posteriore low volume</t>
        </is>
      </c>
    </row>
    <row r="2" ht="32" customHeight="1">
      <c r="A2" s="33" t="inlineStr">
        <is>
          <t>Completa la settimana senza duplicare il quad focus del Legs. Mantieni 2 set e niente cedimento sui multiarticolari.</t>
        </is>
      </c>
    </row>
    <row r="3">
      <c r="A3" s="45" t="inlineStr">
        <is>
          <t>Settimana selezionata</t>
        </is>
      </c>
      <c r="B3" s="46">
        <f>INIZIO!$B$10</f>
        <v/>
      </c>
    </row>
    <row r="5" ht="34" customHeight="1">
      <c r="A5" s="34" t="inlineStr">
        <is>
          <t>#</t>
        </is>
      </c>
      <c r="B5" s="34" t="inlineStr">
        <is>
          <t>Esercizio</t>
        </is>
      </c>
      <c r="C5" s="34" t="inlineStr">
        <is>
          <t>Attrezzo / setup</t>
        </is>
      </c>
      <c r="D5" s="34" t="inlineStr">
        <is>
          <t>Serie</t>
        </is>
      </c>
      <c r="E5" s="34" t="inlineStr">
        <is>
          <t>Ripetizioni</t>
        </is>
      </c>
      <c r="F5" s="34" t="inlineStr">
        <is>
          <t>RIR</t>
        </is>
      </c>
      <c r="G5" s="34" t="inlineStr">
        <is>
          <t>Recupero (s)</t>
        </is>
      </c>
      <c r="H5" s="34" t="inlineStr">
        <is>
          <t>Sec/serie</t>
        </is>
      </c>
      <c r="I5" s="34" t="inlineStr">
        <is>
          <t>Setup/cambio (s)</t>
        </is>
      </c>
      <c r="J5" s="34" t="inlineStr">
        <is>
          <t>Min stimati</t>
        </is>
      </c>
      <c r="K5" s="34" t="inlineStr">
        <is>
          <t>Alternativa</t>
        </is>
      </c>
      <c r="L5" s="34" t="inlineStr">
        <is>
          <t>Note</t>
        </is>
      </c>
      <c r="M5" s="34" t="inlineStr">
        <is>
          <t>Durata fissa (min)</t>
        </is>
      </c>
    </row>
    <row r="6" ht="42" customHeight="1">
      <c r="A6" s="36" t="n">
        <v>1</v>
      </c>
      <c r="B6" s="38" t="inlineStr">
        <is>
          <t>Riscaldamento generale</t>
        </is>
      </c>
      <c r="C6" s="38" t="inlineStr">
        <is>
          <t>Mobilità anche + serie leggere</t>
        </is>
      </c>
      <c r="D6" s="36" t="n"/>
      <c r="E6" s="36" t="inlineStr">
        <is>
          <t>5 min</t>
        </is>
      </c>
      <c r="F6" s="36" t="inlineStr">
        <is>
          <t>—</t>
        </is>
      </c>
      <c r="G6" s="36" t="n"/>
      <c r="H6" s="36" t="n"/>
      <c r="I6" s="36" t="n"/>
      <c r="J6" s="48">
        <f>IF(M6&lt;&gt;"",M6,ROUND((D6*H6+MAX(0,D6-1)*G6+I6)/60,1))</f>
        <v/>
      </c>
      <c r="K6" s="38" t="inlineStr">
        <is>
          <t>—</t>
        </is>
      </c>
      <c r="L6" s="38" t="inlineStr">
        <is>
          <t>Avvicinamento progressivo al primo esercizio.</t>
        </is>
      </c>
      <c r="M6" s="36" t="n">
        <v>5</v>
      </c>
    </row>
    <row r="7" ht="42" customHeight="1">
      <c r="A7" s="36" t="n">
        <v>2</v>
      </c>
      <c r="B7" s="38" t="inlineStr">
        <is>
          <t>Romanian deadlift</t>
        </is>
      </c>
      <c r="C7" s="38" t="inlineStr">
        <is>
          <t>Multipower</t>
        </is>
      </c>
      <c r="D7" s="36" t="n">
        <v>2</v>
      </c>
      <c r="E7" s="36" t="inlineStr">
        <is>
          <t>6–10</t>
        </is>
      </c>
      <c r="F7" s="36" t="inlineStr">
        <is>
          <t>1–2</t>
        </is>
      </c>
      <c r="G7" s="36" t="n">
        <v>150</v>
      </c>
      <c r="H7" s="36" t="n">
        <v>45</v>
      </c>
      <c r="I7" s="36" t="n">
        <v>120</v>
      </c>
      <c r="J7" s="48">
        <f>IF(M7&lt;&gt;"",M7,ROUND((D7*H7+MAX(0,D7-1)*G7+I7)/60,1))</f>
        <v/>
      </c>
      <c r="K7" s="38" t="inlineStr">
        <is>
          <t>Manubri</t>
        </is>
      </c>
      <c r="L7" s="38" t="inlineStr">
        <is>
          <t>Schiena neutra e tibie quasi verticali; niente cedimento.</t>
        </is>
      </c>
      <c r="M7" s="36" t="n"/>
    </row>
    <row r="8" ht="42" customHeight="1">
      <c r="A8" s="36" t="n">
        <v>3</v>
      </c>
      <c r="B8" s="38" t="inlineStr">
        <is>
          <t>Hip thrust machine</t>
        </is>
      </c>
      <c r="C8" s="38" t="inlineStr">
        <is>
          <t>Matrix hip thrust</t>
        </is>
      </c>
      <c r="D8" s="36" t="n">
        <v>2</v>
      </c>
      <c r="E8" s="36" t="inlineStr">
        <is>
          <t>6–10</t>
        </is>
      </c>
      <c r="F8" s="36" t="inlineStr">
        <is>
          <t>1</t>
        </is>
      </c>
      <c r="G8" s="36" t="n">
        <v>120</v>
      </c>
      <c r="H8" s="36" t="n">
        <v>45</v>
      </c>
      <c r="I8" s="36" t="n">
        <v>90</v>
      </c>
      <c r="J8" s="48">
        <f>IF(M8&lt;&gt;"",M8,ROUND((D8*H8+MAX(0,D8-1)*G8+I8)/60,1))</f>
        <v/>
      </c>
      <c r="K8" s="38" t="inlineStr">
        <is>
          <t>Multipower hip thrust</t>
        </is>
      </c>
      <c r="L8" s="38" t="inlineStr">
        <is>
          <t>Pausa 1 s in massima estensione.</t>
        </is>
      </c>
      <c r="M8" s="36" t="n"/>
    </row>
    <row r="9" ht="42" customHeight="1">
      <c r="A9" s="36" t="n">
        <v>4</v>
      </c>
      <c r="B9" s="38" t="inlineStr">
        <is>
          <t>Standing leg curl</t>
        </is>
      </c>
      <c r="C9" s="38" t="inlineStr">
        <is>
          <t>Matrix standing leg curl</t>
        </is>
      </c>
      <c r="D9" s="36" t="n">
        <v>2</v>
      </c>
      <c r="E9" s="36" t="inlineStr">
        <is>
          <t>10–15 / lato</t>
        </is>
      </c>
      <c r="F9" s="36" t="inlineStr">
        <is>
          <t>0–1</t>
        </is>
      </c>
      <c r="G9" s="36" t="n">
        <v>75</v>
      </c>
      <c r="H9" s="36" t="n">
        <v>45</v>
      </c>
      <c r="I9" s="36" t="n">
        <v>60</v>
      </c>
      <c r="J9" s="48">
        <f>IF(M9&lt;&gt;"",M9,ROUND((D9*H9+MAX(0,D9-1)*G9+I9)/60,1))</f>
        <v/>
      </c>
      <c r="K9" s="38" t="inlineStr">
        <is>
          <t>Leg curl pacco pesi</t>
        </is>
      </c>
      <c r="L9" s="38" t="inlineStr">
        <is>
          <t>Bacino stabile; conta 2 serie per lato.</t>
        </is>
      </c>
      <c r="M9" s="36" t="n"/>
    </row>
    <row r="10" ht="42" customHeight="1">
      <c r="A10" s="36" t="n">
        <v>5</v>
      </c>
      <c r="B10" s="38" t="inlineStr">
        <is>
          <t>Belt squat</t>
        </is>
      </c>
      <c r="C10" s="38" t="inlineStr">
        <is>
          <t>Matrix belt squat</t>
        </is>
      </c>
      <c r="D10" s="36" t="n">
        <v>2</v>
      </c>
      <c r="E10" s="36" t="inlineStr">
        <is>
          <t>8–12</t>
        </is>
      </c>
      <c r="F10" s="36" t="inlineStr">
        <is>
          <t>1–2</t>
        </is>
      </c>
      <c r="G10" s="36" t="n">
        <v>120</v>
      </c>
      <c r="H10" s="36" t="n">
        <v>45</v>
      </c>
      <c r="I10" s="36" t="n">
        <v>90</v>
      </c>
      <c r="J10" s="48">
        <f>IF(M10&lt;&gt;"",M10,ROUND((D10*H10+MAX(0,D10-1)*G10+I10)/60,1))</f>
        <v/>
      </c>
      <c r="K10" s="38" t="inlineStr">
        <is>
          <t>Perfect squat</t>
        </is>
      </c>
      <c r="L10" s="38" t="inlineStr">
        <is>
          <t>Richiamo quad/glutei senza caricare la schiena.</t>
        </is>
      </c>
      <c r="M10" s="36" t="n"/>
    </row>
    <row r="11" ht="42" customHeight="1">
      <c r="A11" s="36" t="n">
        <v>6</v>
      </c>
      <c r="B11" s="38" t="inlineStr">
        <is>
          <t>Abductor</t>
        </is>
      </c>
      <c r="C11" s="38" t="inlineStr">
        <is>
          <t>Matrix abductor</t>
        </is>
      </c>
      <c r="D11" s="36" t="n">
        <v>2</v>
      </c>
      <c r="E11" s="36" t="inlineStr">
        <is>
          <t>15–25</t>
        </is>
      </c>
      <c r="F11" s="36" t="inlineStr">
        <is>
          <t>0–1</t>
        </is>
      </c>
      <c r="G11" s="36" t="n">
        <v>60</v>
      </c>
      <c r="H11" s="36" t="n">
        <v>45</v>
      </c>
      <c r="I11" s="36" t="n">
        <v>45</v>
      </c>
      <c r="J11" s="48">
        <f>IF(M11&lt;&gt;"",M11,ROUND((D11*H11+MAX(0,D11-1)*G11+I11)/60,1))</f>
        <v/>
      </c>
      <c r="K11" s="38" t="inlineStr">
        <is>
          <t>—</t>
        </is>
      </c>
      <c r="L11" s="38" t="inlineStr">
        <is>
          <t>Controlla il ritorno.</t>
        </is>
      </c>
      <c r="M11" s="36" t="n"/>
    </row>
    <row r="12" ht="42" customHeight="1">
      <c r="A12" s="36" t="n">
        <v>7</v>
      </c>
      <c r="B12" s="38" t="inlineStr">
        <is>
          <t>Calf raise</t>
        </is>
      </c>
      <c r="C12" s="38" t="inlineStr">
        <is>
          <t>Multipower</t>
        </is>
      </c>
      <c r="D12" s="36" t="n">
        <v>2</v>
      </c>
      <c r="E12" s="36" t="inlineStr">
        <is>
          <t>8–12</t>
        </is>
      </c>
      <c r="F12" s="36" t="inlineStr">
        <is>
          <t>0–1</t>
        </is>
      </c>
      <c r="G12" s="36" t="n">
        <v>60</v>
      </c>
      <c r="H12" s="36" t="n">
        <v>40</v>
      </c>
      <c r="I12" s="36" t="n">
        <v>60</v>
      </c>
      <c r="J12" s="48">
        <f>IF(M12&lt;&gt;"",M12,ROUND((D12*H12+MAX(0,D12-1)*G12+I12)/60,1))</f>
        <v/>
      </c>
      <c r="K12" s="38" t="inlineStr">
        <is>
          <t>Pressa orizzontale</t>
        </is>
      </c>
      <c r="L12" s="38" t="inlineStr">
        <is>
          <t>ROM completo e pausa.</t>
        </is>
      </c>
      <c r="M12" s="36" t="n"/>
    </row>
    <row r="14">
      <c r="H14" s="49" t="inlineStr">
        <is>
          <t>Totale seduta</t>
        </is>
      </c>
      <c r="I14" s="49" t="inlineStr">
        <is>
          <t>min</t>
        </is>
      </c>
      <c r="J14" s="49">
        <f>ROUND(SUM(J6:J12),1)</f>
        <v/>
      </c>
      <c r="K14" s="49" t="inlineStr">
        <is>
          <t>Target 25–45</t>
        </is>
      </c>
      <c r="L14" s="49">
        <f>IF(AND(J14&gt;=25,J14&lt;=45),"OK","RIVEDERE")</f>
        <v/>
      </c>
    </row>
    <row r="16" ht="34" customHeight="1">
      <c r="A16" s="50" t="inlineStr">
        <is>
          <t>Regola chiave</t>
        </is>
      </c>
      <c r="B16" s="51" t="inlineStr">
        <is>
          <t>Due sole serie allenanti per accessorio: qualità alta, logbook e progressione. Multiarticolari mai a cedimento tecnico; seconda serie degli isolamenti a RIR 0–1 solo se recupero e tecnica sono buoni.</t>
        </is>
      </c>
    </row>
  </sheetData>
  <autoFilter ref="A5:L12"/>
  <mergeCells count="3">
    <mergeCell ref="B16:L16"/>
    <mergeCell ref="A2:M2"/>
    <mergeCell ref="A1:M1"/>
  </mergeCells>
  <conditionalFormatting sqref="J14">
    <cfRule type="cellIs" priority="1" operator="between" dxfId="1">
      <formula>45</formula>
      <formula>60</formula>
    </cfRule>
    <cfRule type="cellIs" priority="2" operator="lessThan" dxfId="2">
      <formula>45</formula>
    </cfRule>
    <cfRule type="cellIs" priority="3" operator="greaterThan" dxfId="2">
      <formula>60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5" customWidth="1" min="4" max="4"/>
    <col width="40" customWidth="1" min="5" max="5"/>
    <col width="37" customWidth="1" min="6" max="6"/>
    <col width="25" customWidth="1" min="7" max="7"/>
    <col width="45" customWidth="1" min="8" max="8"/>
  </cols>
  <sheetData>
    <row r="1" ht="28" customHeight="1">
      <c r="A1" s="32" t="inlineStr">
        <is>
          <t>Adattamenti sulle 9 settimane</t>
        </is>
      </c>
    </row>
    <row r="2" ht="32" customHeight="1">
      <c r="A2" s="33" t="inlineStr">
        <is>
          <t>Come modificare gli accessori per far convivere la PPL + Upper/Lower con il ciclo panca.</t>
        </is>
      </c>
    </row>
    <row r="4">
      <c r="A4" s="34" t="inlineStr">
        <is>
          <t>Settimana</t>
        </is>
      </c>
      <c r="B4" s="34" t="inlineStr">
        <is>
          <t>Fase</t>
        </is>
      </c>
      <c r="C4" s="34" t="inlineStr">
        <is>
          <t>Panca Push</t>
        </is>
      </c>
      <c r="D4" s="34" t="inlineStr">
        <is>
          <t>Panca Upper</t>
        </is>
      </c>
      <c r="E4" s="34" t="inlineStr">
        <is>
          <t>Push / Upper accessori</t>
        </is>
      </c>
      <c r="F4" s="34" t="inlineStr">
        <is>
          <t>Pull / Legs / Lower</t>
        </is>
      </c>
      <c r="G4" s="34" t="inlineStr">
        <is>
          <t>Obiettivo</t>
        </is>
      </c>
      <c r="H4" s="34" t="inlineStr">
        <is>
          <t>Nota pratica</t>
        </is>
      </c>
    </row>
    <row r="5" ht="52" customHeight="1">
      <c r="A5" s="36" t="n">
        <v>1</v>
      </c>
      <c r="B5" s="52">
        <f>'Piano 9 settimane'!B5</f>
        <v/>
      </c>
      <c r="C5" s="52">
        <f>'Piano 9 settimane'!D5&amp;" | "&amp;'Piano 9 settimane'!E5</f>
        <v/>
      </c>
      <c r="D5" s="52">
        <f>'Piano 9 settimane'!H5</f>
        <v/>
      </c>
      <c r="E5" s="38" t="inlineStr">
        <is>
          <t>Storico – come eseguito</t>
        </is>
      </c>
      <c r="F5" s="38" t="inlineStr">
        <is>
          <t>Storico – come eseguito</t>
        </is>
      </c>
      <c r="G5" s="38" t="inlineStr">
        <is>
          <t>Costruire margine</t>
        </is>
      </c>
      <c r="H5" s="38" t="inlineStr">
        <is>
          <t>Settimana già svolta.</t>
        </is>
      </c>
    </row>
    <row r="6" ht="52" customHeight="1">
      <c r="A6" s="36" t="n">
        <v>2</v>
      </c>
      <c r="B6" s="52">
        <f>'Piano 9 settimane'!B6</f>
        <v/>
      </c>
      <c r="C6" s="52">
        <f>'Piano 9 settimane'!D6&amp;" | "&amp;'Piano 9 settimane'!E6</f>
        <v/>
      </c>
      <c r="D6" s="52">
        <f>'Piano 9 settimane'!H6</f>
        <v/>
      </c>
      <c r="E6" s="38" t="inlineStr">
        <is>
          <t>Storico – come eseguito</t>
        </is>
      </c>
      <c r="F6" s="38" t="inlineStr">
        <is>
          <t>Storico – come eseguito</t>
        </is>
      </c>
      <c r="G6" s="38" t="inlineStr">
        <is>
          <t>Feedback</t>
        </is>
      </c>
      <c r="H6" s="38" t="inlineStr">
        <is>
          <t>A: 137,5 circa RPE 7 con fermo corto. B: 115 kg 4/4/3; prime 2 buone, recupero/setting da migliorare.</t>
        </is>
      </c>
    </row>
    <row r="7" ht="52" customHeight="1">
      <c r="A7" s="36" t="n">
        <v>3</v>
      </c>
      <c r="B7" s="52">
        <f>'Piano 9 settimane'!B7</f>
        <v/>
      </c>
      <c r="C7" s="52">
        <f>'Piano 9 settimane'!D7&amp;" | "&amp;'Piano 9 settimane'!E7</f>
        <v/>
      </c>
      <c r="D7" s="52">
        <f>'Piano 9 settimane'!H7</f>
        <v/>
      </c>
      <c r="E7" s="38" t="inlineStr">
        <is>
          <t>Push base 2 set; niente manubri inclinata. Upper compatto.</t>
        </is>
      </c>
      <c r="F7" s="38" t="inlineStr">
        <is>
          <t>Pull/Legs come struttura personale; 2 set base.</t>
        </is>
      </c>
      <c r="G7" s="38" t="inlineStr">
        <is>
          <t>Consolidare</t>
        </is>
      </c>
      <c r="H7" s="38" t="inlineStr">
        <is>
          <t>Panca B: 115 kg 2 x 4 con 4 min pieni. High row 3 min.</t>
        </is>
      </c>
    </row>
    <row r="8" ht="52" customHeight="1">
      <c r="A8" s="53" t="n">
        <v>4</v>
      </c>
      <c r="B8" s="54">
        <f>'Piano 9 settimane'!B8</f>
        <v/>
      </c>
      <c r="C8" s="54">
        <f>'Piano 9 settimane'!D8&amp;" | "&amp;'Piano 9 settimane'!E8</f>
        <v/>
      </c>
      <c r="D8" s="54">
        <f>'Piano 9 settimane'!H8</f>
        <v/>
      </c>
      <c r="E8" s="55" t="inlineStr">
        <is>
          <t>1 set incline/shoulder/tricipiti; isolamenti 1-2 set a RIR 3</t>
        </is>
      </c>
      <c r="F8" s="55" t="inlineStr">
        <is>
          <t>2 set a RIR 2–3; se stanco 1 set sul primo multi</t>
        </is>
      </c>
      <c r="G8" s="55" t="inlineStr">
        <is>
          <t>Dissipare fatica</t>
        </is>
      </c>
      <c r="H8" s="55" t="inlineStr">
        <is>
          <t>Leg extension: niente terza serie opzionale.</t>
        </is>
      </c>
    </row>
    <row r="9" ht="52" customHeight="1">
      <c r="A9" s="36" t="n">
        <v>5</v>
      </c>
      <c r="B9" s="52">
        <f>'Piano 9 settimane'!B9</f>
        <v/>
      </c>
      <c r="C9" s="52">
        <f>'Piano 9 settimane'!D9&amp;" | "&amp;'Piano 9 settimane'!E9</f>
        <v/>
      </c>
      <c r="D9" s="52">
        <f>'Piano 9 settimane'!H9</f>
        <v/>
      </c>
      <c r="E9" s="38" t="inlineStr">
        <is>
          <t>Torna a 2 serie base</t>
        </is>
      </c>
      <c r="F9" s="38" t="inlineStr">
        <is>
          <t>2 serie base</t>
        </is>
      </c>
      <c r="G9" s="38" t="inlineStr">
        <is>
          <t>Ripartenza</t>
        </is>
      </c>
      <c r="H9" s="38" t="inlineStr">
        <is>
          <t>Riprendi il logbook senza recuperare volume perso.</t>
        </is>
      </c>
    </row>
    <row r="10" ht="52" customHeight="1">
      <c r="A10" s="36" t="n">
        <v>6</v>
      </c>
      <c r="B10" s="52">
        <f>'Piano 9 settimane'!B10</f>
        <v/>
      </c>
      <c r="C10" s="52">
        <f>'Piano 9 settimane'!D10&amp;" | "&amp;'Piano 9 settimane'!E10</f>
        <v/>
      </c>
      <c r="D10" s="52">
        <f>'Piano 9 settimane'!H10</f>
        <v/>
      </c>
      <c r="E10" s="38" t="inlineStr">
        <is>
          <t>2 serie base; niente grinder</t>
        </is>
      </c>
      <c r="F10" s="38" t="inlineStr">
        <is>
          <t>2 serie base</t>
        </is>
      </c>
      <c r="G10" s="38" t="inlineStr">
        <is>
          <t>Intensificazione</t>
        </is>
      </c>
      <c r="H10" s="38" t="inlineStr">
        <is>
          <t>La panca ha priorità su qualsiasi PR accessorio.</t>
        </is>
      </c>
    </row>
    <row r="11" ht="52" customHeight="1">
      <c r="A11" s="56" t="n">
        <v>7</v>
      </c>
      <c r="B11" s="57">
        <f>'Piano 9 settimane'!B11</f>
        <v/>
      </c>
      <c r="C11" s="57">
        <f>'Piano 9 settimane'!D11&amp;" | "&amp;'Piano 9 settimane'!E11</f>
        <v/>
      </c>
      <c r="D11" s="57">
        <f>'Piano 9 settimane'!H11</f>
        <v/>
      </c>
      <c r="E11" s="58" t="inlineStr">
        <is>
          <t>1 set incline/shoulder/tricipiti; Upper laterali opzionali</t>
        </is>
      </c>
      <c r="F11" s="58" t="inlineStr">
        <is>
          <t>2 serie base</t>
        </is>
      </c>
      <c r="G11" s="58" t="inlineStr">
        <is>
          <t>Proteggere il picco</t>
        </is>
      </c>
      <c r="H11" s="58" t="inlineStr">
        <is>
          <t>Niente terza leg extension; proteggi il picco.</t>
        </is>
      </c>
    </row>
    <row r="12" ht="52" customHeight="1">
      <c r="A12" s="59" t="n">
        <v>8</v>
      </c>
      <c r="B12" s="60">
        <f>'Piano 9 settimane'!B12</f>
        <v/>
      </c>
      <c r="C12" s="60">
        <f>'Piano 9 settimane'!D12&amp;" | "&amp;'Piano 9 settimane'!E12</f>
        <v/>
      </c>
      <c r="D12" s="60">
        <f>'Piano 9 settimane'!H12</f>
        <v/>
      </c>
      <c r="E12" s="61" t="inlineStr">
        <is>
          <t>1 set press/tricipiti; resto RIR 3</t>
        </is>
      </c>
      <c r="F12" s="61" t="inlineStr">
        <is>
          <t>2 set RIR 2–3</t>
        </is>
      </c>
      <c r="G12" s="61" t="inlineStr">
        <is>
          <t>Arrivare freschi</t>
        </is>
      </c>
      <c r="H12" s="61" t="inlineStr">
        <is>
          <t>Niente terza leg extension; niente PR accessori.</t>
        </is>
      </c>
    </row>
    <row r="13" ht="52" customHeight="1">
      <c r="A13" s="62" t="n">
        <v>9</v>
      </c>
      <c r="B13" s="63">
        <f>'Piano 9 settimane'!B13</f>
        <v/>
      </c>
      <c r="C13" s="63">
        <f>'Piano 9 settimane'!D13&amp;" | "&amp;'Piano 9 settimane'!E13</f>
        <v/>
      </c>
      <c r="D13" s="63">
        <f>'Piano 9 settimane'!H13</f>
        <v/>
      </c>
      <c r="E13" s="64" t="inlineStr">
        <is>
          <t>Dopo il test: 0-1 set accessori di spinta</t>
        </is>
      </c>
      <c r="F13" s="64" t="inlineStr">
        <is>
          <t>Upper: B sospesa; dorso/braccia 2 set RIR 2–3</t>
        </is>
      </c>
      <c r="G13" s="64" t="inlineStr">
        <is>
          <t>Massima espressione</t>
        </is>
      </c>
      <c r="H13" s="64" t="inlineStr">
        <is>
          <t>Se il test e tassante, chiudi Push dopo la panca.</t>
        </is>
      </c>
    </row>
  </sheetData>
  <autoFilter ref="A4:H13"/>
  <mergeCells count="2">
    <mergeCell ref="A2:H2"/>
    <mergeCell ref="A1:H1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4" customWidth="1" min="3" max="3"/>
    <col width="32" customWidth="1" min="4" max="4"/>
    <col width="12" customWidth="1" min="5" max="5"/>
    <col width="17" customWidth="1" min="6" max="6"/>
    <col width="34" customWidth="1" min="7" max="7"/>
    <col width="40" customWidth="1" min="8" max="8"/>
  </cols>
  <sheetData>
    <row r="1" ht="28" customHeight="1">
      <c r="A1" s="32" t="inlineStr">
        <is>
          <t>Progressione accessori - metodo 2 set / logbook v3</t>
        </is>
      </c>
    </row>
    <row r="2" ht="32" customHeight="1">
      <c r="A2" s="33" t="inlineStr">
        <is>
          <t>Pochi set, recuperi sufficienti e progressione registrata. I carichi reali delle prime sedute sono usati come riferimenti, non come obblighi.</t>
        </is>
      </c>
    </row>
    <row r="3">
      <c r="A3" t="inlineStr">
        <is>
          <t>Tipo</t>
        </is>
      </c>
      <c r="B3" t="inlineStr">
        <is>
          <t>Serie 1</t>
        </is>
      </c>
      <c r="C3" t="inlineStr">
        <is>
          <t>Serie 2</t>
        </is>
      </c>
      <c r="D3" t="inlineStr">
        <is>
          <t>Quando aumentare</t>
        </is>
      </c>
      <c r="E3" t="inlineStr">
        <is>
          <t>RIR</t>
        </is>
      </c>
      <c r="F3" t="inlineStr">
        <is>
          <t>Recupero</t>
        </is>
      </c>
      <c r="G3" t="inlineStr">
        <is>
          <t>Se la S2 crolla</t>
        </is>
      </c>
      <c r="H3" t="inlineStr">
        <is>
          <t>Nota</t>
        </is>
      </c>
    </row>
    <row r="4">
      <c r="A4" s="34" t="inlineStr">
        <is>
          <t>Press / row / squat machine</t>
        </is>
      </c>
      <c r="B4" s="34" t="inlineStr">
        <is>
          <t>Range indicato, carico stabile</t>
        </is>
      </c>
      <c r="C4" s="34" t="inlineStr">
        <is>
          <t>Stesso carico; -5–10% solo se serve</t>
        </is>
      </c>
      <c r="D4" s="34" t="inlineStr">
        <is>
          <t>Quando entrambe le serie toccano il limite alto con tecnica pulita</t>
        </is>
      </c>
      <c r="E4" s="34" t="inlineStr">
        <is>
          <t>S1 1–2 / S2 1–2</t>
        </is>
      </c>
      <c r="F4" s="34" t="inlineStr">
        <is>
          <t>2:30-3:00 sui multi pesanti</t>
        </is>
      </c>
      <c r="G4" s="34" t="inlineStr">
        <is>
          <t>Se perde &gt;2–3 reps, mantieni il carico</t>
        </is>
      </c>
      <c r="H4" s="34" t="inlineStr">
        <is>
          <t>Niente cedimento tecnico sui multiarticolari.</t>
        </is>
      </c>
    </row>
    <row r="5" ht="58" customHeight="1">
      <c r="A5" s="65" t="inlineStr">
        <is>
          <t>Isolamenti</t>
        </is>
      </c>
      <c r="B5" s="65" t="inlineStr">
        <is>
          <t>Range indicato</t>
        </is>
      </c>
      <c r="C5" s="65" t="inlineStr">
        <is>
          <t>Stesso carico o piccolo back-off</t>
        </is>
      </c>
      <c r="D5" s="65" t="inlineStr">
        <is>
          <t>Quando entrambe le serie arrivano in alto al range</t>
        </is>
      </c>
      <c r="E5" s="65" t="inlineStr">
        <is>
          <t>S1 1 / S2 0–1</t>
        </is>
      </c>
      <c r="F5" s="65" t="inlineStr">
        <is>
          <t>60–90 s</t>
        </is>
      </c>
      <c r="G5" s="65" t="inlineStr">
        <is>
          <t>Mantieni carico e prova +1 rep</t>
        </is>
      </c>
      <c r="H5" s="65" t="inlineStr">
        <is>
          <t>Cedimento solo tecnico, non ripetizioni sporche.</t>
        </is>
      </c>
    </row>
    <row r="6" ht="58" customHeight="1">
      <c r="A6" s="65" t="inlineStr">
        <is>
          <t>Panca A</t>
        </is>
      </c>
      <c r="B6" s="65" t="inlineStr">
        <is>
          <t>Singola tecnica</t>
        </is>
      </c>
      <c r="C6" s="65" t="inlineStr">
        <is>
          <t>2 back-off da piano</t>
        </is>
      </c>
      <c r="D6" s="65" t="inlineStr">
        <is>
          <t>Solo secondo il piano panca</t>
        </is>
      </c>
      <c r="E6" s="65" t="inlineStr">
        <is>
          <t>RPE da piano</t>
        </is>
      </c>
      <c r="F6" s="65" t="inlineStr">
        <is>
          <t>3–4 min</t>
        </is>
      </c>
      <c r="G6" s="65" t="inlineStr">
        <is>
          <t>Riduci 2,5–5 kg se la singola supera RPE 8,5</t>
        </is>
      </c>
      <c r="H6" s="65" t="inlineStr">
        <is>
          <t>Priorità assoluta della seduta.</t>
        </is>
      </c>
    </row>
    <row r="7" ht="58" customHeight="1">
      <c r="A7" s="65" t="inlineStr">
        <is>
          <t>Panca B</t>
        </is>
      </c>
      <c r="B7" s="65" t="inlineStr">
        <is>
          <t>2 set con fermo reale 2 s</t>
        </is>
      </c>
      <c r="C7" s="65" t="inlineStr">
        <is>
          <t>—</t>
        </is>
      </c>
      <c r="D7" s="65" t="inlineStr">
        <is>
          <t>Aumenta solo dopo 2 set completati e ultima &lt;= RPE 8,5</t>
        </is>
      </c>
      <c r="E7" s="65" t="inlineStr">
        <is>
          <t>RPE 7–8,5</t>
        </is>
      </c>
      <c r="F7" s="65" t="inlineStr">
        <is>
          <t>4 min (5 se necessario)</t>
        </is>
      </c>
      <c r="G7" s="65" t="inlineStr">
        <is>
          <t>Ripeti il carico o migliora recupero/setting prima di scalare</t>
        </is>
      </c>
      <c r="H7" s="65" t="inlineStr">
        <is>
          <t>Il 115 x 4/4/3 di W2 e compatibile con recupero troppo corto: le prime 2 serie erano buone.</t>
        </is>
      </c>
    </row>
    <row r="8" ht="58" customHeight="1">
      <c r="A8" s="65" t="inlineStr">
        <is>
          <t>Logbook</t>
        </is>
      </c>
      <c r="B8" s="65" t="inlineStr">
        <is>
          <t>Segna kg/reps/RIR</t>
        </is>
      </c>
      <c r="C8" s="65" t="inlineStr">
        <is>
          <t>Confronta con seduta precedente</t>
        </is>
      </c>
      <c r="D8" s="65" t="inlineStr">
        <is>
          <t>Cerca una sola piccola progressione alla volta</t>
        </is>
      </c>
      <c r="E8" s="65" t="inlineStr">
        <is>
          <t>—</t>
        </is>
      </c>
      <c r="F8" s="65" t="inlineStr">
        <is>
          <t>—</t>
        </is>
      </c>
      <c r="G8" s="65" t="inlineStr">
        <is>
          <t>Niente aumento automatico</t>
        </is>
      </c>
      <c r="H8" s="65" t="inlineStr">
        <is>
          <t>Qualità &gt; quantità.</t>
        </is>
      </c>
    </row>
    <row r="9">
      <c r="A9" t="inlineStr">
        <is>
          <t>Ordine di taglio</t>
        </is>
      </c>
      <c r="B9" t="inlineStr">
        <is>
          <t>1) isolamento opzionale</t>
        </is>
      </c>
      <c r="C9" t="inlineStr">
        <is>
          <t>2) un accessorio braccia/spalle</t>
        </is>
      </c>
      <c r="D9" t="inlineStr">
        <is>
          <t>Mai tagliare panca o recuperi pesanti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Nelle settimane 7–9 proteggi la freschezza.</t>
        </is>
      </c>
    </row>
    <row r="10">
      <c r="A10" t="inlineStr">
        <is>
          <t>Sicurezza</t>
        </is>
      </c>
      <c r="B10" t="inlineStr">
        <is>
          <t>Spotter / safety bars sulle singole</t>
        </is>
      </c>
      <c r="C10" t="inlineStr">
        <is>
          <t>Stop con dolore o perdita di controllo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Non forzare una rep assistita dentro la progressione.</t>
        </is>
      </c>
    </row>
    <row r="11" ht="42" customHeight="1">
      <c r="A11" s="50" t="inlineStr">
        <is>
          <t>Nota pratica</t>
        </is>
      </c>
      <c r="B11" s="66" t="inlineStr">
        <is>
          <t>Se la seconda serie perde oltre 2–3 ripetizioni rispetto alla prima, non aumentare il carico: migliora prima qualità e recupero.</t>
        </is>
      </c>
    </row>
    <row r="13">
      <c r="A13" s="67" t="n"/>
      <c r="B13" s="68" t="n"/>
    </row>
    <row r="14"/>
  </sheetData>
  <mergeCells count="4">
    <mergeCell ref="B13:H14"/>
    <mergeCell ref="A2:H2"/>
    <mergeCell ref="B11:H11"/>
    <mergeCell ref="A1:H1"/>
  </mergeCells>
  <printOptions horizontalCentered="1"/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20" customWidth="1" min="4" max="4"/>
    <col width="19" customWidth="1" min="5" max="5"/>
    <col width="12" customWidth="1" min="6" max="6"/>
    <col width="22" customWidth="1" min="7" max="7"/>
    <col width="21" customWidth="1" min="8" max="8"/>
    <col width="12" customWidth="1" min="9" max="9"/>
    <col width="14" customWidth="1" min="10" max="10"/>
    <col width="14" customWidth="1" min="11" max="11"/>
    <col width="11" customWidth="1" min="12" max="12"/>
    <col width="48" customWidth="1" min="13" max="13"/>
  </cols>
  <sheetData>
    <row r="1" ht="28" customHeight="1">
      <c r="A1" s="1" t="inlineStr">
        <is>
          <t>Piano forza panca - 9 settimane, ricalibrato su feedback W2</t>
        </is>
      </c>
    </row>
    <row r="2" ht="32" customHeight="1">
      <c r="A2" s="2" t="inlineStr">
        <is>
          <t>W2: 137,5 kg x 1 circa RPE 7 con fermo corto; B 115 kg = 4 / 4 / 3 con fermo 2 s e recupero probabilmente troppo breve. W3 consolida tecnica e recuperi.</t>
        </is>
      </c>
    </row>
    <row r="4" ht="34" customHeight="1">
      <c r="A4" s="3" t="inlineStr">
        <is>
          <t>Settimana</t>
        </is>
      </c>
      <c r="B4" s="3" t="inlineStr">
        <is>
          <t>Fase</t>
        </is>
      </c>
      <c r="C4" s="3" t="inlineStr">
        <is>
          <t>Seduta A</t>
        </is>
      </c>
      <c r="D4" s="3" t="inlineStr">
        <is>
          <t>Top set A</t>
        </is>
      </c>
      <c r="E4" s="3" t="inlineStr">
        <is>
          <t>Back-off A</t>
        </is>
      </c>
      <c r="F4" s="3" t="inlineStr">
        <is>
          <t>Recupero A</t>
        </is>
      </c>
      <c r="G4" s="3" t="inlineStr">
        <is>
          <t>Seduta B</t>
        </is>
      </c>
      <c r="H4" s="3" t="inlineStr">
        <is>
          <t>Lavoro B</t>
        </is>
      </c>
      <c r="I4" s="3" t="inlineStr">
        <is>
          <t>Recupero B</t>
        </is>
      </c>
      <c r="J4" s="3" t="inlineStr">
        <is>
          <t>RPE obiettivo</t>
        </is>
      </c>
      <c r="K4" s="3" t="inlineStr">
        <is>
          <t>Tempo stimato</t>
        </is>
      </c>
      <c r="L4" s="3" t="inlineStr">
        <is>
          <t>Priorità</t>
        </is>
      </c>
      <c r="M4" s="3" t="inlineStr">
        <is>
          <t>Indicazioni</t>
        </is>
      </c>
    </row>
    <row r="5" ht="46" customHeight="1">
      <c r="A5" s="4" t="n">
        <v>1</v>
      </c>
      <c r="B5" s="4" t="inlineStr">
        <is>
          <t>Accumulo (fatta)</t>
        </is>
      </c>
      <c r="C5" s="4" t="inlineStr">
        <is>
          <t>Push – pesante</t>
        </is>
      </c>
      <c r="D5" s="5" t="inlineStr">
        <is>
          <t>135 kg × 1</t>
        </is>
      </c>
      <c r="E5" s="5" t="inlineStr">
        <is>
          <t>120 kg – 2×3</t>
        </is>
      </c>
      <c r="F5" s="4" t="inlineStr">
        <is>
          <t>2:00</t>
        </is>
      </c>
      <c r="G5" s="4" t="inlineStr">
        <is>
          <t>Upper – fermo 2 s</t>
        </is>
      </c>
      <c r="H5" s="5" t="inlineStr">
        <is>
          <t>112,5 kg – 3×4</t>
        </is>
      </c>
      <c r="I5" s="4" t="inlineStr">
        <is>
          <t>1:30</t>
        </is>
      </c>
      <c r="J5" s="4" t="inlineStr">
        <is>
          <t>7–8</t>
        </is>
      </c>
      <c r="K5" s="4" t="inlineStr">
        <is>
          <t>storico</t>
        </is>
      </c>
      <c r="L5" s="4" t="inlineStr">
        <is>
          <t>A + B</t>
        </is>
      </c>
      <c r="M5" s="6" t="inlineStr">
        <is>
          <t>Settimana già svolta.</t>
        </is>
      </c>
    </row>
    <row r="6" ht="46" customHeight="1">
      <c r="A6" s="4" t="n">
        <v>2</v>
      </c>
      <c r="B6" s="4" t="inlineStr">
        <is>
          <t>Accumulo (fatta)</t>
        </is>
      </c>
      <c r="C6" s="4" t="inlineStr">
        <is>
          <t>Push – pesante</t>
        </is>
      </c>
      <c r="D6" s="5" t="inlineStr">
        <is>
          <t>137,5 kg × 1</t>
        </is>
      </c>
      <c r="E6" s="5" t="inlineStr">
        <is>
          <t>122,5 kg – 2×3</t>
        </is>
      </c>
      <c r="F6" s="4" t="inlineStr">
        <is>
          <t>2:00</t>
        </is>
      </c>
      <c r="G6" s="4" t="inlineStr">
        <is>
          <t>Upper – fermo 2 s</t>
        </is>
      </c>
      <c r="H6" s="5" t="inlineStr">
        <is>
          <t>115 kg – 3×4 (fatto 4/4/3)</t>
        </is>
      </c>
      <c r="I6" s="4" t="inlineStr">
        <is>
          <t>1:30</t>
        </is>
      </c>
      <c r="J6" s="4" t="inlineStr">
        <is>
          <t>7–8</t>
        </is>
      </c>
      <c r="K6" s="4" t="inlineStr">
        <is>
          <t>storico</t>
        </is>
      </c>
      <c r="L6" s="4" t="inlineStr">
        <is>
          <t>A + B</t>
        </is>
      </c>
      <c r="M6" s="6" t="inlineStr">
        <is>
          <t>A: 137,5 x 1 circa RPE 7, ma fermo corto. B: 115 x 4/4/3 con fermo 2 s; prime 2 serie buone, terza probabilmente penalizzata da recupero/setting.</t>
        </is>
      </c>
    </row>
    <row r="7" ht="46" customHeight="1">
      <c r="A7" s="4" t="n">
        <v>3</v>
      </c>
      <c r="B7" s="4" t="inlineStr">
        <is>
          <t>Ricalibrazione</t>
        </is>
      </c>
      <c r="C7" s="4" t="inlineStr">
        <is>
          <t>Push – pesante</t>
        </is>
      </c>
      <c r="D7" s="5" t="inlineStr">
        <is>
          <t>140 kg x 1</t>
        </is>
      </c>
      <c r="E7" s="5" t="inlineStr">
        <is>
          <t>125 kg - 2x3</t>
        </is>
      </c>
      <c r="F7" s="4" t="inlineStr">
        <is>
          <t>4:00</t>
        </is>
      </c>
      <c r="G7" s="4" t="inlineStr">
        <is>
          <t>Upper – fermo 2 s</t>
        </is>
      </c>
      <c r="H7" s="5" t="inlineStr">
        <is>
          <t>115 kg - 2x4</t>
        </is>
      </c>
      <c r="I7" s="4" t="inlineStr">
        <is>
          <t>4:00</t>
        </is>
      </c>
      <c r="J7" s="4" t="inlineStr">
        <is>
          <t>7-8</t>
        </is>
      </c>
      <c r="K7" s="4" t="inlineStr">
        <is>
          <t>16-20 min</t>
        </is>
      </c>
      <c r="L7" s="4" t="inlineStr">
        <is>
          <t>A + B</t>
        </is>
      </c>
      <c r="M7" s="6" t="inlineStr">
        <is>
          <t>W3: fermo piu netto sulla singola. B: 4 min pieni; 5 min se la prima serie e insolitamente dura.</t>
        </is>
      </c>
    </row>
    <row r="8" ht="46" customHeight="1">
      <c r="A8" s="7" t="n">
        <v>4</v>
      </c>
      <c r="B8" s="7" t="inlineStr">
        <is>
          <t>Scarico</t>
        </is>
      </c>
      <c r="C8" s="7" t="inlineStr">
        <is>
          <t>Push – facile</t>
        </is>
      </c>
      <c r="D8" s="8" t="inlineStr">
        <is>
          <t>132,5 kg x 1</t>
        </is>
      </c>
      <c r="E8" s="8" t="inlineStr">
        <is>
          <t>112,5 kg - 2x3</t>
        </is>
      </c>
      <c r="F8" s="7" t="inlineStr">
        <is>
          <t>3:00</t>
        </is>
      </c>
      <c r="G8" s="7" t="inlineStr">
        <is>
          <t>Upper – fermo 2 s</t>
        </is>
      </c>
      <c r="H8" s="8" t="inlineStr">
        <is>
          <t>105 kg - 2x4</t>
        </is>
      </c>
      <c r="I8" s="7" t="inlineStr">
        <is>
          <t>3:00</t>
        </is>
      </c>
      <c r="J8" s="7" t="inlineStr">
        <is>
          <t>6-7</t>
        </is>
      </c>
      <c r="K8" s="7" t="inlineStr">
        <is>
          <t>13-16 min</t>
        </is>
      </c>
      <c r="L8" s="7" t="inlineStr">
        <is>
          <t>A + B</t>
        </is>
      </c>
      <c r="M8" s="9" t="inlineStr">
        <is>
          <t>Scarico tecnico: setup identico, molta riserva.</t>
        </is>
      </c>
    </row>
    <row r="9" ht="46" customHeight="1">
      <c r="A9" s="4" t="n">
        <v>5</v>
      </c>
      <c r="B9" s="4" t="inlineStr">
        <is>
          <t>Intensificazione</t>
        </is>
      </c>
      <c r="C9" s="4" t="inlineStr">
        <is>
          <t>Push – pesante</t>
        </is>
      </c>
      <c r="D9" s="5" t="inlineStr">
        <is>
          <t>142,5 kg x 1*</t>
        </is>
      </c>
      <c r="E9" s="5" t="inlineStr">
        <is>
          <t>125 kg - 2x3</t>
        </is>
      </c>
      <c r="F9" s="4" t="inlineStr">
        <is>
          <t>4:00</t>
        </is>
      </c>
      <c r="G9" s="4" t="inlineStr">
        <is>
          <t>Upper – fermo 2 s</t>
        </is>
      </c>
      <c r="H9" s="5" t="inlineStr">
        <is>
          <t>117,5 kg - 2x4</t>
        </is>
      </c>
      <c r="I9" s="4" t="inlineStr">
        <is>
          <t>4:00</t>
        </is>
      </c>
      <c r="J9" s="4" t="inlineStr">
        <is>
          <t>7,5-8,5</t>
        </is>
      </c>
      <c r="K9" s="4" t="inlineStr">
        <is>
          <t>16-20 min</t>
        </is>
      </c>
      <c r="L9" s="4" t="inlineStr">
        <is>
          <t>A + B</t>
        </is>
      </c>
      <c r="M9" s="6" t="inlineStr">
        <is>
          <t>*Usa 142,5 solo se W3 140 e &lt;=RPE 7,5; altrimenti ripeti 140. B sale solo se W3 e pulita.</t>
        </is>
      </c>
    </row>
    <row r="10" ht="46" customHeight="1">
      <c r="A10" s="4" t="n">
        <v>6</v>
      </c>
      <c r="B10" s="4" t="inlineStr">
        <is>
          <t>Intensificazione</t>
        </is>
      </c>
      <c r="C10" s="4" t="inlineStr">
        <is>
          <t>Push – pesante</t>
        </is>
      </c>
      <c r="D10" s="5" t="inlineStr">
        <is>
          <t>145 kg x 1*</t>
        </is>
      </c>
      <c r="E10" s="5" t="inlineStr">
        <is>
          <t>127,5 kg - 2x3</t>
        </is>
      </c>
      <c r="F10" s="4" t="inlineStr">
        <is>
          <t>4:00</t>
        </is>
      </c>
      <c r="G10" s="4" t="inlineStr">
        <is>
          <t>Upper – fermo 2 s</t>
        </is>
      </c>
      <c r="H10" s="5" t="inlineStr">
        <is>
          <t>120 kg - 2x3</t>
        </is>
      </c>
      <c r="I10" s="4" t="inlineStr">
        <is>
          <t>4:00</t>
        </is>
      </c>
      <c r="J10" s="4" t="inlineStr">
        <is>
          <t>8-8,5</t>
        </is>
      </c>
      <c r="K10" s="4" t="inlineStr">
        <is>
          <t>16-20 min</t>
        </is>
      </c>
      <c r="L10" s="4" t="inlineStr">
        <is>
          <t>A + B</t>
        </is>
      </c>
      <c r="M10" s="6" t="inlineStr">
        <is>
          <t>*145 solo se la singola W5 resta &lt;=RPE 8; altrimenti 142,5. Nessun grind nei back-off.</t>
        </is>
      </c>
    </row>
    <row r="11" ht="46" customHeight="1">
      <c r="A11" s="10" t="n">
        <v>7</v>
      </c>
      <c r="B11" s="10" t="inlineStr">
        <is>
          <t>Picco</t>
        </is>
      </c>
      <c r="C11" s="10" t="inlineStr">
        <is>
          <t>Push – pesante</t>
        </is>
      </c>
      <c r="D11" s="11" t="inlineStr">
        <is>
          <t>145-147,5 kg x 1</t>
        </is>
      </c>
      <c r="E11" s="11" t="inlineStr">
        <is>
          <t>130 kg - 2x2</t>
        </is>
      </c>
      <c r="F11" s="10" t="inlineStr">
        <is>
          <t>4:00-5:00</t>
        </is>
      </c>
      <c r="G11" s="10" t="inlineStr">
        <is>
          <t>Upper – fermo 2 s</t>
        </is>
      </c>
      <c r="H11" s="11" t="inlineStr">
        <is>
          <t>122,5 kg - 2x2</t>
        </is>
      </c>
      <c r="I11" s="10" t="inlineStr">
        <is>
          <t>4:00</t>
        </is>
      </c>
      <c r="J11" s="10" t="inlineStr">
        <is>
          <t>8-8,5</t>
        </is>
      </c>
      <c r="K11" s="10" t="inlineStr">
        <is>
          <t>17-21 min</t>
        </is>
      </c>
      <c r="L11" s="10" t="inlineStr">
        <is>
          <t>A + B</t>
        </is>
      </c>
      <c r="M11" s="12" t="inlineStr">
        <is>
          <t>147,5 solo con 145 veloce e fermo chiaro. B breve, tecnica e recupero pieno.</t>
        </is>
      </c>
    </row>
    <row r="12" ht="46" customHeight="1">
      <c r="A12" s="13" t="n">
        <v>8</v>
      </c>
      <c r="B12" s="13" t="inlineStr">
        <is>
          <t>Taper</t>
        </is>
      </c>
      <c r="C12" s="13" t="inlineStr">
        <is>
          <t>Push – facile</t>
        </is>
      </c>
      <c r="D12" s="14" t="inlineStr">
        <is>
          <t>137,5 kg x 1</t>
        </is>
      </c>
      <c r="E12" s="14" t="inlineStr">
        <is>
          <t>117,5 kg - 2x2</t>
        </is>
      </c>
      <c r="F12" s="13" t="inlineStr">
        <is>
          <t>3:30</t>
        </is>
      </c>
      <c r="G12" s="13" t="inlineStr">
        <is>
          <t>Upper – fermo 2 s</t>
        </is>
      </c>
      <c r="H12" s="14" t="inlineStr">
        <is>
          <t>110 kg - 2x3</t>
        </is>
      </c>
      <c r="I12" s="13" t="inlineStr">
        <is>
          <t>3:30</t>
        </is>
      </c>
      <c r="J12" s="13" t="inlineStr">
        <is>
          <t>6-7</t>
        </is>
      </c>
      <c r="K12" s="13" t="inlineStr">
        <is>
          <t>14-17 min</t>
        </is>
      </c>
      <c r="L12" s="13" t="inlineStr">
        <is>
          <t>A + B</t>
        </is>
      </c>
      <c r="M12" s="15" t="inlineStr">
        <is>
          <t>Niente cedimento; riduci gli accessori di spinta.</t>
        </is>
      </c>
    </row>
    <row r="13" ht="46" customHeight="1">
      <c r="A13" s="16" t="n">
        <v>9</v>
      </c>
      <c r="B13" s="16" t="inlineStr">
        <is>
          <t>Test</t>
        </is>
      </c>
      <c r="C13" s="16" t="inlineStr">
        <is>
          <t>Push – test</t>
        </is>
      </c>
      <c r="D13" s="17" t="inlineStr">
        <is>
          <t>145 kg x 1; poi 150 kg x 1</t>
        </is>
      </c>
      <c r="E13" s="17" t="inlineStr">
        <is>
          <t>Nessuno</t>
        </is>
      </c>
      <c r="F13" s="16" t="inlineStr">
        <is>
          <t>5:00</t>
        </is>
      </c>
      <c r="G13" s="16" t="inlineStr">
        <is>
          <t>Upper</t>
        </is>
      </c>
      <c r="H13" s="17" t="inlineStr">
        <is>
          <t>Panca sospesa</t>
        </is>
      </c>
      <c r="I13" s="16" t="inlineStr">
        <is>
          <t>-</t>
        </is>
      </c>
      <c r="J13" s="16" t="inlineStr">
        <is>
          <t>9-10</t>
        </is>
      </c>
      <c r="K13" s="16" t="inlineStr">
        <is>
          <t>20-25 min*</t>
        </is>
      </c>
      <c r="L13" s="16" t="inlineStr">
        <is>
          <t>Solo A</t>
        </is>
      </c>
      <c r="M13" s="18" t="inlineStr">
        <is>
          <t>Se 150 e pulito e &lt;=RPE 8,5, 152,5 e opzionale. Safety bars/spotter obbligatori sulle prove massimali.</t>
        </is>
      </c>
    </row>
    <row r="15">
      <c r="A15" t="inlineStr">
        <is>
          <t>Regole di autoregolazione</t>
        </is>
      </c>
    </row>
    <row r="16">
      <c r="A16" s="19" t="inlineStr">
        <is>
          <t>1. La singola A deve restare tecnica: se supera RPE 8,5 o perdi traiettoria, riduci 2,5–5 kg e non inseguire il numero.</t>
        </is>
      </c>
    </row>
    <row r="17" ht="28" customHeight="1">
      <c r="A17" s="20" t="inlineStr">
        <is>
          <t>2. Seduta B: fermo reale di 2 secondi. Parti con 4 min tra le serie; se la prima e piu dura del previsto puoi usare 5 min. Prima di ridurre il carico, verifica setting e riscaldamento.</t>
        </is>
      </c>
    </row>
    <row r="18" ht="28" customHeight="1">
      <c r="A18" s="20" t="inlineStr">
        <is>
          <t>3. Recuperi panca: 4 min come standard nei lavori pesanti; 3 min nello scarico, 5 min sulle prove/test se serve. Il cronometro non deve limitare la tecnica.</t>
        </is>
      </c>
    </row>
    <row r="19" ht="38" customHeight="1">
      <c r="A19" s="21" t="inlineStr">
        <is>
          <t>4. Dopo la panca gli accessori restano a 2 serie. Multiarticolari RIR 1–2; isolamenti seconda serie RIR 0–1 solo se non compromette la panca successiva.</t>
        </is>
      </c>
    </row>
    <row r="20" ht="28" customHeight="1">
      <c r="A20" s="20" t="inlineStr">
        <is>
          <t>5. Dolore articolare, perdita di controllo o necessità di assistenza = interrompi la progressione. Usa spotter o safety bars sulle singole pesanti.</t>
        </is>
      </c>
    </row>
    <row r="21" ht="28" customHeight="1">
      <c r="A21" s="21" t="inlineStr">
        <is>
          <t>*Il test non ha un limite di 10 minuti: privilegia preparazione e recuperi completi.</t>
        </is>
      </c>
    </row>
    <row r="22" ht="28" customHeight="1">
      <c r="A22" s="21" t="n"/>
    </row>
  </sheetData>
  <autoFilter ref="A4:M13"/>
  <mergeCells count="9">
    <mergeCell ref="A19:M19"/>
    <mergeCell ref="A1:M1"/>
    <mergeCell ref="A22:M22"/>
    <mergeCell ref="A17:M17"/>
    <mergeCell ref="A18:M18"/>
    <mergeCell ref="A21:M21"/>
    <mergeCell ref="A2:M2"/>
    <mergeCell ref="A20:M20"/>
    <mergeCell ref="A16:M16"/>
  </mergeCells>
  <pageMargins left="0.25" right="0.25" top="0.5" bottom="0.5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14" customWidth="1" min="4" max="4"/>
    <col width="15" customWidth="1" min="5" max="5"/>
    <col width="48" customWidth="1" min="6" max="6"/>
  </cols>
  <sheetData>
    <row r="1" ht="28" customHeight="1">
      <c r="A1" s="22" t="inlineStr">
        <is>
          <t>Protocollo panca - setting e recuperi completi v3</t>
        </is>
      </c>
    </row>
    <row r="3" ht="26" customHeight="1">
      <c r="A3" s="23" t="inlineStr">
        <is>
          <t>Seduta A - Push: singola tecnica + 2 back-off</t>
        </is>
      </c>
    </row>
    <row r="4" ht="26" customHeight="1">
      <c r="A4" s="24" t="inlineStr">
        <is>
          <t>Sequenza</t>
        </is>
      </c>
      <c r="B4" s="24" t="inlineStr">
        <is>
          <t>Serie</t>
        </is>
      </c>
      <c r="C4" s="24" t="inlineStr">
        <is>
          <t>Carico indicativo</t>
        </is>
      </c>
      <c r="D4" s="24" t="inlineStr">
        <is>
          <t>Ripetizioni</t>
        </is>
      </c>
      <c r="E4" s="24" t="inlineStr">
        <is>
          <t>Recupero</t>
        </is>
      </c>
      <c r="F4" s="24" t="inlineStr">
        <is>
          <t>Nota</t>
        </is>
      </c>
    </row>
    <row r="5" ht="26" customHeight="1">
      <c r="A5" s="25" t="inlineStr">
        <is>
          <t>1</t>
        </is>
      </c>
      <c r="B5" s="26" t="inlineStr">
        <is>
          <t>Riscaldamento 1</t>
        </is>
      </c>
      <c r="C5" s="25" t="inlineStr">
        <is>
          <t>Bilanciere</t>
        </is>
      </c>
      <c r="D5" s="25" t="inlineStr">
        <is>
          <t>10-15</t>
        </is>
      </c>
      <c r="E5" s="26" t="inlineStr">
        <is>
          <t>45-60 s</t>
        </is>
      </c>
      <c r="F5" s="27" t="inlineStr">
        <is>
          <t>Setup completo gia dalla prima serie</t>
        </is>
      </c>
    </row>
    <row r="6" ht="26" customHeight="1">
      <c r="A6" s="25" t="inlineStr">
        <is>
          <t>2</t>
        </is>
      </c>
      <c r="B6" s="26" t="inlineStr">
        <is>
          <t>Riscaldamento 2</t>
        </is>
      </c>
      <c r="C6" s="25" t="inlineStr">
        <is>
          <t>60 kg</t>
        </is>
      </c>
      <c r="D6" s="25" t="n">
        <v>5</v>
      </c>
      <c r="E6" s="26" t="inlineStr">
        <is>
          <t>60 s</t>
        </is>
      </c>
      <c r="F6" s="27" t="inlineStr">
        <is>
          <t>Fluido</t>
        </is>
      </c>
    </row>
    <row r="7" ht="26" customHeight="1">
      <c r="A7" s="25" t="inlineStr">
        <is>
          <t>3</t>
        </is>
      </c>
      <c r="B7" s="26" t="inlineStr">
        <is>
          <t>Riscaldamento 3</t>
        </is>
      </c>
      <c r="C7" s="25" t="inlineStr">
        <is>
          <t>90 kg</t>
        </is>
      </c>
      <c r="D7" s="25" t="n">
        <v>3</v>
      </c>
      <c r="E7" s="26" t="inlineStr">
        <is>
          <t>75-90 s</t>
        </is>
      </c>
      <c r="F7" s="27" t="inlineStr">
        <is>
          <t>Fermo breve e traiettoria identica</t>
        </is>
      </c>
    </row>
    <row r="8" ht="26" customHeight="1">
      <c r="A8" s="25" t="inlineStr">
        <is>
          <t>4</t>
        </is>
      </c>
      <c r="B8" s="26" t="inlineStr">
        <is>
          <t>Riscaldamento 4</t>
        </is>
      </c>
      <c r="C8" s="25" t="inlineStr">
        <is>
          <t>110 kg</t>
        </is>
      </c>
      <c r="D8" s="25" t="n">
        <v>1</v>
      </c>
      <c r="E8" s="26" t="inlineStr">
        <is>
          <t>90-120 s</t>
        </is>
      </c>
      <c r="F8" s="27" t="inlineStr">
        <is>
          <t>Fermo chiaro; nessuna fretta</t>
        </is>
      </c>
    </row>
    <row r="9" ht="26" customHeight="1">
      <c r="A9" s="25" t="inlineStr">
        <is>
          <t>5</t>
        </is>
      </c>
      <c r="B9" s="26" t="inlineStr">
        <is>
          <t>Riscaldamento 5</t>
        </is>
      </c>
      <c r="C9" s="25" t="inlineStr">
        <is>
          <t>125 kg</t>
        </is>
      </c>
      <c r="D9" s="25" t="n">
        <v>1</v>
      </c>
      <c r="E9" s="26" t="inlineStr">
        <is>
          <t>2:00</t>
        </is>
      </c>
      <c r="F9" s="27" t="inlineStr">
        <is>
          <t>Solo se il top e &gt;=140 kg; deve essere facile</t>
        </is>
      </c>
    </row>
    <row r="10" ht="26" customHeight="1">
      <c r="A10" s="25" t="inlineStr">
        <is>
          <t>6</t>
        </is>
      </c>
      <c r="B10" s="26" t="inlineStr">
        <is>
          <t>Top set</t>
        </is>
      </c>
      <c r="C10" s="25" t="inlineStr">
        <is>
          <t>Da tabella</t>
        </is>
      </c>
      <c r="D10" s="25" t="n">
        <v>1</v>
      </c>
      <c r="E10" s="26" t="inlineStr">
        <is>
          <t>4:00</t>
        </is>
      </c>
      <c r="F10" s="27" t="inlineStr">
        <is>
          <t>Fermo regolamentare/chiaro; RPE target da piano, nessun grind</t>
        </is>
      </c>
    </row>
    <row r="11" ht="26" customHeight="1">
      <c r="A11" s="25" t="inlineStr">
        <is>
          <t>7</t>
        </is>
      </c>
      <c r="B11" s="26" t="inlineStr">
        <is>
          <t>Back-off 1</t>
        </is>
      </c>
      <c r="C11" s="25" t="inlineStr">
        <is>
          <t>Da tabella</t>
        </is>
      </c>
      <c r="D11" s="25" t="inlineStr">
        <is>
          <t>2-3</t>
        </is>
      </c>
      <c r="E11" s="26" t="inlineStr">
        <is>
          <t>4:00</t>
        </is>
      </c>
      <c r="F11" s="27" t="inlineStr">
        <is>
          <t>Esecuzione identica alla panca da gara</t>
        </is>
      </c>
    </row>
    <row r="12" ht="26" customHeight="1">
      <c r="A12" s="25" t="inlineStr">
        <is>
          <t>8</t>
        </is>
      </c>
      <c r="B12" s="26" t="inlineStr">
        <is>
          <t>Back-off 2</t>
        </is>
      </c>
      <c r="C12" s="25" t="inlineStr">
        <is>
          <t>Da tabella</t>
        </is>
      </c>
      <c r="D12" s="25" t="inlineStr">
        <is>
          <t>2-3</t>
        </is>
      </c>
      <c r="E12" s="26" t="inlineStr">
        <is>
          <t>Fine</t>
        </is>
      </c>
      <c r="F12" s="27" t="inlineStr">
        <is>
          <t>Chiudi con margine tecnico</t>
        </is>
      </c>
    </row>
    <row r="14">
      <c r="A14" s="23" t="inlineStr">
        <is>
          <t>Seduta B - Upper: 2 serie con fermo reale di 2 s</t>
        </is>
      </c>
    </row>
    <row r="15">
      <c r="A15" s="24" t="inlineStr">
        <is>
          <t>Sequenza</t>
        </is>
      </c>
      <c r="B15" s="24" t="inlineStr">
        <is>
          <t>Serie</t>
        </is>
      </c>
      <c r="C15" s="24" t="inlineStr">
        <is>
          <t>Carico indicativo</t>
        </is>
      </c>
      <c r="D15" s="24" t="inlineStr">
        <is>
          <t>Ripetizioni</t>
        </is>
      </c>
      <c r="E15" s="24" t="inlineStr">
        <is>
          <t>Recupero</t>
        </is>
      </c>
      <c r="F15" s="24" t="inlineStr">
        <is>
          <t>Nota</t>
        </is>
      </c>
    </row>
    <row r="16" ht="30" customHeight="1">
      <c r="A16" s="25" t="inlineStr">
        <is>
          <t>1</t>
        </is>
      </c>
      <c r="B16" s="26" t="inlineStr">
        <is>
          <t>Riscaldamento 1</t>
        </is>
      </c>
      <c r="C16" s="25" t="inlineStr">
        <is>
          <t>Bilanciere</t>
        </is>
      </c>
      <c r="D16" s="25" t="inlineStr">
        <is>
          <t>10-15</t>
        </is>
      </c>
      <c r="E16" s="26" t="inlineStr">
        <is>
          <t>45-60 s</t>
        </is>
      </c>
      <c r="F16" s="27" t="inlineStr">
        <is>
          <t>Prendi subito arco, scapole e piedi</t>
        </is>
      </c>
    </row>
    <row r="17" ht="30" customHeight="1">
      <c r="A17" s="25" t="inlineStr">
        <is>
          <t>2</t>
        </is>
      </c>
      <c r="B17" s="26" t="inlineStr">
        <is>
          <t>Riscaldamento 2</t>
        </is>
      </c>
      <c r="C17" s="25" t="inlineStr">
        <is>
          <t>60 kg</t>
        </is>
      </c>
      <c r="D17" s="25" t="n">
        <v>5</v>
      </c>
      <c r="E17" s="26" t="inlineStr">
        <is>
          <t>60 s</t>
        </is>
      </c>
      <c r="F17" s="27" t="inlineStr">
        <is>
          <t>Fluido</t>
        </is>
      </c>
    </row>
    <row r="18" ht="30" customHeight="1">
      <c r="A18" s="25" t="inlineStr">
        <is>
          <t>3</t>
        </is>
      </c>
      <c r="B18" s="26" t="inlineStr">
        <is>
          <t>Riscaldamento 3</t>
        </is>
      </c>
      <c r="C18" s="25" t="inlineStr">
        <is>
          <t>80 kg</t>
        </is>
      </c>
      <c r="D18" s="25" t="n">
        <v>3</v>
      </c>
      <c r="E18" s="26" t="inlineStr">
        <is>
          <t>75-90 s</t>
        </is>
      </c>
      <c r="F18" s="27" t="inlineStr">
        <is>
          <t>Inizia a replicare il setting da lavoro</t>
        </is>
      </c>
    </row>
    <row r="19" ht="30" customHeight="1">
      <c r="A19" s="25" t="inlineStr">
        <is>
          <t>4</t>
        </is>
      </c>
      <c r="B19" s="26" t="inlineStr">
        <is>
          <t>Riscaldamento 4</t>
        </is>
      </c>
      <c r="C19" s="25" t="inlineStr">
        <is>
          <t>95 kg</t>
        </is>
      </c>
      <c r="D19" s="25" t="n">
        <v>2</v>
      </c>
      <c r="E19" s="26" t="inlineStr">
        <is>
          <t>90-120 s</t>
        </is>
      </c>
      <c r="F19" s="27" t="inlineStr">
        <is>
          <t>Fermo 1-2 s</t>
        </is>
      </c>
    </row>
    <row r="20" ht="30" customHeight="1">
      <c r="A20" s="25" t="inlineStr">
        <is>
          <t>5</t>
        </is>
      </c>
      <c r="B20" s="26" t="inlineStr">
        <is>
          <t>Riscaldamento 5</t>
        </is>
      </c>
      <c r="C20" s="25" t="inlineStr">
        <is>
          <t>105 kg</t>
        </is>
      </c>
      <c r="D20" s="25" t="n">
        <v>1</v>
      </c>
      <c r="E20" s="26" t="inlineStr">
        <is>
          <t>2:00</t>
        </is>
      </c>
      <c r="F20" s="27" t="inlineStr">
        <is>
          <t>Fermo pieno 2 s; deve essere facile</t>
        </is>
      </c>
    </row>
    <row r="21" ht="30" customHeight="1">
      <c r="A21" s="25" t="inlineStr">
        <is>
          <t>6</t>
        </is>
      </c>
      <c r="B21" s="26" t="inlineStr">
        <is>
          <t>Serie 1</t>
        </is>
      </c>
      <c r="C21" s="25" t="inlineStr">
        <is>
          <t>Da tabella</t>
        </is>
      </c>
      <c r="D21" s="25" t="inlineStr">
        <is>
          <t>2-4</t>
        </is>
      </c>
      <c r="E21" s="26" t="inlineStr">
        <is>
          <t>4:00</t>
        </is>
      </c>
      <c r="F21" s="27" t="inlineStr">
        <is>
          <t>Fermo 2 s, traiettoria pulita e setup identico</t>
        </is>
      </c>
    </row>
    <row r="22" ht="30" customHeight="1">
      <c r="A22" s="25" t="inlineStr">
        <is>
          <t>7</t>
        </is>
      </c>
      <c r="B22" s="26" t="inlineStr">
        <is>
          <t>Serie 2</t>
        </is>
      </c>
      <c r="C22" s="25" t="inlineStr">
        <is>
          <t>Da tabella</t>
        </is>
      </c>
      <c r="D22" s="25" t="inlineStr">
        <is>
          <t>2-4</t>
        </is>
      </c>
      <c r="E22" s="26" t="inlineStr">
        <is>
          <t>Fine</t>
        </is>
      </c>
      <c r="F22" s="27" t="inlineStr">
        <is>
          <t>Se S1 e insolitamente dura, usa fino a 5 min prima di S2</t>
        </is>
      </c>
    </row>
    <row r="23" ht="40" customHeight="1">
      <c r="A23" s="28" t="inlineStr">
        <is>
          <t>Nota: il 4/4/3 a 115 kg non viene trattato come fallimento di forza: prima correggiamo recupero, riscaldamento e setting. Fermati in caso di dolore o perdita di controllo.</t>
        </is>
      </c>
    </row>
  </sheetData>
  <mergeCells count="4">
    <mergeCell ref="A3:F3"/>
    <mergeCell ref="A14:F14"/>
    <mergeCell ref="A1:F1"/>
    <mergeCell ref="A23:F2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6" customWidth="1" min="4" max="4"/>
    <col width="11" customWidth="1" min="5" max="5"/>
    <col width="22" customWidth="1" min="6" max="6"/>
    <col width="16" customWidth="1" min="7" max="7"/>
    <col width="13" customWidth="1" min="8" max="8"/>
    <col width="12" customWidth="1" min="9" max="9"/>
    <col width="11" customWidth="1" min="10" max="10"/>
    <col width="38" customWidth="1" min="11" max="11"/>
    <col width="36" customWidth="1" min="12" max="12"/>
  </cols>
  <sheetData>
    <row r="1" ht="28" customHeight="1">
      <c r="A1" s="22" t="inlineStr">
        <is>
          <t>Registro esecuzione e RPE</t>
        </is>
      </c>
    </row>
    <row r="2">
      <c r="A2" s="29" t="inlineStr">
        <is>
          <t>Compila solo i campi blu. Non aumentare i carichi se l’RPE reale supera il limite indicato nel piano.</t>
        </is>
      </c>
    </row>
    <row r="4" ht="36" customHeight="1">
      <c r="A4" s="3" t="inlineStr">
        <is>
          <t>Settimana</t>
        </is>
      </c>
      <c r="B4" s="3" t="inlineStr">
        <is>
          <t>Seduta</t>
        </is>
      </c>
      <c r="C4" s="3" t="inlineStr">
        <is>
          <t>Data</t>
        </is>
      </c>
      <c r="D4" s="3" t="inlineStr">
        <is>
          <t>Carico top (kg)</t>
        </is>
      </c>
      <c r="E4" s="3" t="inlineStr">
        <is>
          <t>RPE top</t>
        </is>
      </c>
      <c r="F4" s="3" t="inlineStr">
        <is>
          <t>Back-off / volume</t>
        </is>
      </c>
      <c r="G4" s="3" t="inlineStr">
        <is>
          <t>RPE ultima serie</t>
        </is>
      </c>
      <c r="H4" s="3" t="inlineStr">
        <is>
          <t>Completato</t>
        </is>
      </c>
      <c r="I4" s="3" t="inlineStr">
        <is>
          <t>Dolore 0–10</t>
        </is>
      </c>
      <c r="J4" s="3" t="inlineStr">
        <is>
          <t>Sonno 1–5</t>
        </is>
      </c>
      <c r="K4" s="3" t="inlineStr">
        <is>
          <t>Note tecniche</t>
        </is>
      </c>
      <c r="L4" s="3" t="inlineStr">
        <is>
          <t>Decisione prossima volta</t>
        </is>
      </c>
    </row>
    <row r="5" ht="30" customHeight="1">
      <c r="A5" s="26" t="n">
        <v>1</v>
      </c>
      <c r="B5" s="26" t="inlineStr">
        <is>
          <t>A</t>
        </is>
      </c>
      <c r="C5" s="30" t="inlineStr"/>
      <c r="D5" s="30" t="inlineStr"/>
      <c r="E5" s="30" t="inlineStr"/>
      <c r="F5" s="30" t="inlineStr"/>
      <c r="G5" s="30" t="inlineStr"/>
      <c r="H5" s="30" t="inlineStr"/>
      <c r="I5" s="30" t="inlineStr"/>
      <c r="J5" s="30" t="inlineStr"/>
      <c r="K5" s="31" t="inlineStr"/>
      <c r="L5" s="31" t="inlineStr"/>
    </row>
    <row r="6" ht="30" customHeight="1">
      <c r="A6" s="26" t="n">
        <v>1</v>
      </c>
      <c r="B6" s="26" t="inlineStr">
        <is>
          <t>B</t>
        </is>
      </c>
      <c r="C6" s="30" t="inlineStr"/>
      <c r="D6" s="30" t="inlineStr"/>
      <c r="E6" s="30" t="inlineStr"/>
      <c r="F6" s="30" t="inlineStr"/>
      <c r="G6" s="30" t="inlineStr"/>
      <c r="H6" s="30" t="inlineStr"/>
      <c r="I6" s="30" t="inlineStr"/>
      <c r="J6" s="30" t="inlineStr"/>
      <c r="K6" s="31" t="inlineStr"/>
      <c r="L6" s="31" t="inlineStr"/>
    </row>
    <row r="7" ht="30" customHeight="1">
      <c r="A7" s="26" t="n">
        <v>2</v>
      </c>
      <c r="B7" s="26" t="inlineStr">
        <is>
          <t>A</t>
        </is>
      </c>
      <c r="C7" s="30" t="inlineStr"/>
      <c r="D7" s="30" t="n">
        <v>137.5</v>
      </c>
      <c r="E7" s="30" t="n">
        <v>7</v>
      </c>
      <c r="F7" s="30" t="n"/>
      <c r="G7" s="30" t="inlineStr"/>
      <c r="H7" s="30" t="inlineStr">
        <is>
          <t>Si</t>
        </is>
      </c>
      <c r="I7" s="30" t="inlineStr"/>
      <c r="J7" s="30" t="inlineStr"/>
      <c r="K7" s="31" t="inlineStr">
        <is>
          <t>Singola tranquilla; fermo corto rispetto al target.</t>
        </is>
      </c>
      <c r="L7" s="31" t="inlineStr">
        <is>
          <t>W3: 140 kg x 1 con fermo piu chiaro. Se &lt;=RPE 7,5, W5 puo salire a 142,5.</t>
        </is>
      </c>
    </row>
    <row r="8" ht="30" customHeight="1">
      <c r="A8" s="26" t="n">
        <v>2</v>
      </c>
      <c r="B8" s="26" t="inlineStr">
        <is>
          <t>B</t>
        </is>
      </c>
      <c r="C8" s="30" t="inlineStr"/>
      <c r="D8" s="30" t="inlineStr"/>
      <c r="E8" s="30" t="inlineStr"/>
      <c r="F8" s="30" t="inlineStr">
        <is>
          <t>115 kg - 4 / 4 / 3 (fermo 2 s)</t>
        </is>
      </c>
      <c r="G8" s="30" t="inlineStr"/>
      <c r="H8" s="30" t="inlineStr">
        <is>
          <t>Parziale (11/12)</t>
        </is>
      </c>
      <c r="I8" s="30" t="inlineStr"/>
      <c r="J8" s="30" t="inlineStr"/>
      <c r="K8" s="31" t="inlineStr">
        <is>
          <t>Prime 2 serie buone. Terza chiusa a 3; probabile recupero troppo corto e/o setting/riscaldamento migliorabile.</t>
        </is>
      </c>
      <c r="L8" s="31" t="inlineStr">
        <is>
          <t>W3: 115 kg 2 x 4, 4 min pieni tra le serie; warm-up 60/80/95/105 con setting progressivo.</t>
        </is>
      </c>
    </row>
    <row r="9" ht="30" customHeight="1">
      <c r="A9" s="26" t="n">
        <v>3</v>
      </c>
      <c r="B9" s="26" t="inlineStr">
        <is>
          <t>A</t>
        </is>
      </c>
      <c r="C9" s="30" t="inlineStr"/>
      <c r="D9" s="30" t="inlineStr"/>
      <c r="E9" s="30" t="inlineStr"/>
      <c r="F9" s="30" t="inlineStr"/>
      <c r="G9" s="30" t="inlineStr"/>
      <c r="H9" s="30" t="inlineStr"/>
      <c r="I9" s="30" t="inlineStr"/>
      <c r="J9" s="30" t="inlineStr"/>
      <c r="K9" s="31" t="inlineStr"/>
      <c r="L9" s="31" t="inlineStr"/>
    </row>
    <row r="10" ht="30" customHeight="1">
      <c r="A10" s="26" t="n">
        <v>3</v>
      </c>
      <c r="B10" s="26" t="inlineStr">
        <is>
          <t>B</t>
        </is>
      </c>
      <c r="C10" s="30" t="inlineStr"/>
      <c r="D10" s="30" t="inlineStr"/>
      <c r="E10" s="30" t="inlineStr"/>
      <c r="F10" s="30" t="inlineStr"/>
      <c r="G10" s="30" t="inlineStr"/>
      <c r="H10" s="30" t="inlineStr"/>
      <c r="I10" s="30" t="inlineStr"/>
      <c r="J10" s="30" t="inlineStr"/>
      <c r="K10" s="31" t="inlineStr"/>
      <c r="L10" s="31" t="inlineStr"/>
    </row>
    <row r="11" ht="30" customHeight="1">
      <c r="A11" s="26" t="n">
        <v>4</v>
      </c>
      <c r="B11" s="26" t="inlineStr">
        <is>
          <t>A</t>
        </is>
      </c>
      <c r="C11" s="30" t="inlineStr"/>
      <c r="D11" s="30" t="inlineStr"/>
      <c r="E11" s="30" t="inlineStr"/>
      <c r="F11" s="30" t="inlineStr"/>
      <c r="G11" s="30" t="inlineStr"/>
      <c r="H11" s="30" t="inlineStr"/>
      <c r="I11" s="30" t="inlineStr"/>
      <c r="J11" s="30" t="inlineStr"/>
      <c r="K11" s="31" t="inlineStr"/>
      <c r="L11" s="31" t="inlineStr"/>
    </row>
    <row r="12" ht="30" customHeight="1">
      <c r="A12" s="26" t="n">
        <v>4</v>
      </c>
      <c r="B12" s="26" t="inlineStr">
        <is>
          <t>B</t>
        </is>
      </c>
      <c r="C12" s="30" t="inlineStr"/>
      <c r="D12" s="30" t="inlineStr"/>
      <c r="E12" s="30" t="inlineStr"/>
      <c r="F12" s="30" t="inlineStr"/>
      <c r="G12" s="30" t="inlineStr"/>
      <c r="H12" s="30" t="inlineStr"/>
      <c r="I12" s="30" t="inlineStr"/>
      <c r="J12" s="30" t="inlineStr"/>
      <c r="K12" s="31" t="inlineStr"/>
      <c r="L12" s="31" t="inlineStr"/>
    </row>
    <row r="13" ht="30" customHeight="1">
      <c r="A13" s="26" t="n">
        <v>5</v>
      </c>
      <c r="B13" s="26" t="inlineStr">
        <is>
          <t>A</t>
        </is>
      </c>
      <c r="C13" s="30" t="inlineStr"/>
      <c r="D13" s="30" t="inlineStr"/>
      <c r="E13" s="30" t="inlineStr"/>
      <c r="F13" s="30" t="inlineStr"/>
      <c r="G13" s="30" t="inlineStr"/>
      <c r="H13" s="30" t="inlineStr"/>
      <c r="I13" s="30" t="inlineStr"/>
      <c r="J13" s="30" t="inlineStr"/>
      <c r="K13" s="31" t="inlineStr"/>
      <c r="L13" s="31" t="inlineStr"/>
    </row>
    <row r="14" ht="30" customHeight="1">
      <c r="A14" s="26" t="n">
        <v>5</v>
      </c>
      <c r="B14" s="26" t="inlineStr">
        <is>
          <t>B</t>
        </is>
      </c>
      <c r="C14" s="30" t="inlineStr"/>
      <c r="D14" s="30" t="inlineStr"/>
      <c r="E14" s="30" t="inlineStr"/>
      <c r="F14" s="30" t="inlineStr"/>
      <c r="G14" s="30" t="inlineStr"/>
      <c r="H14" s="30" t="inlineStr"/>
      <c r="I14" s="30" t="inlineStr"/>
      <c r="J14" s="30" t="inlineStr"/>
      <c r="K14" s="31" t="inlineStr"/>
      <c r="L14" s="31" t="inlineStr"/>
    </row>
    <row r="15" ht="30" customHeight="1">
      <c r="A15" s="26" t="n">
        <v>6</v>
      </c>
      <c r="B15" s="26" t="inlineStr">
        <is>
          <t>A</t>
        </is>
      </c>
      <c r="C15" s="30" t="inlineStr"/>
      <c r="D15" s="30" t="inlineStr"/>
      <c r="E15" s="30" t="inlineStr"/>
      <c r="F15" s="30" t="inlineStr"/>
      <c r="G15" s="30" t="inlineStr"/>
      <c r="H15" s="30" t="inlineStr"/>
      <c r="I15" s="30" t="inlineStr"/>
      <c r="J15" s="30" t="inlineStr"/>
      <c r="K15" s="31" t="inlineStr"/>
      <c r="L15" s="31" t="inlineStr"/>
    </row>
    <row r="16" ht="30" customHeight="1">
      <c r="A16" s="26" t="n">
        <v>6</v>
      </c>
      <c r="B16" s="26" t="inlineStr">
        <is>
          <t>B</t>
        </is>
      </c>
      <c r="C16" s="30" t="inlineStr"/>
      <c r="D16" s="30" t="inlineStr"/>
      <c r="E16" s="30" t="inlineStr"/>
      <c r="F16" s="30" t="inlineStr"/>
      <c r="G16" s="30" t="inlineStr"/>
      <c r="H16" s="30" t="inlineStr"/>
      <c r="I16" s="30" t="inlineStr"/>
      <c r="J16" s="30" t="inlineStr"/>
      <c r="K16" s="31" t="inlineStr"/>
      <c r="L16" s="31" t="inlineStr"/>
    </row>
    <row r="17" ht="30" customHeight="1">
      <c r="A17" s="26" t="n">
        <v>7</v>
      </c>
      <c r="B17" s="26" t="inlineStr">
        <is>
          <t>A</t>
        </is>
      </c>
      <c r="C17" s="30" t="inlineStr"/>
      <c r="D17" s="30" t="inlineStr"/>
      <c r="E17" s="30" t="inlineStr"/>
      <c r="F17" s="30" t="inlineStr"/>
      <c r="G17" s="30" t="inlineStr"/>
      <c r="H17" s="30" t="inlineStr"/>
      <c r="I17" s="30" t="inlineStr"/>
      <c r="J17" s="30" t="inlineStr"/>
      <c r="K17" s="31" t="inlineStr"/>
      <c r="L17" s="31" t="inlineStr"/>
    </row>
    <row r="18" ht="30" customHeight="1">
      <c r="A18" s="26" t="n">
        <v>7</v>
      </c>
      <c r="B18" s="26" t="inlineStr">
        <is>
          <t>B</t>
        </is>
      </c>
      <c r="C18" s="30" t="inlineStr"/>
      <c r="D18" s="30" t="inlineStr"/>
      <c r="E18" s="30" t="inlineStr"/>
      <c r="F18" s="30" t="inlineStr"/>
      <c r="G18" s="30" t="inlineStr"/>
      <c r="H18" s="30" t="inlineStr"/>
      <c r="I18" s="30" t="inlineStr"/>
      <c r="J18" s="30" t="inlineStr"/>
      <c r="K18" s="31" t="inlineStr"/>
      <c r="L18" s="31" t="inlineStr"/>
    </row>
    <row r="19" ht="30" customHeight="1">
      <c r="A19" s="26" t="n">
        <v>8</v>
      </c>
      <c r="B19" s="26" t="inlineStr">
        <is>
          <t>A</t>
        </is>
      </c>
      <c r="C19" s="30" t="inlineStr"/>
      <c r="D19" s="30" t="inlineStr"/>
      <c r="E19" s="30" t="inlineStr"/>
      <c r="F19" s="30" t="inlineStr"/>
      <c r="G19" s="30" t="inlineStr"/>
      <c r="H19" s="30" t="inlineStr"/>
      <c r="I19" s="30" t="inlineStr"/>
      <c r="J19" s="30" t="inlineStr"/>
      <c r="K19" s="31" t="inlineStr"/>
      <c r="L19" s="31" t="inlineStr"/>
    </row>
    <row r="20" ht="30" customHeight="1">
      <c r="A20" s="26" t="n">
        <v>8</v>
      </c>
      <c r="B20" s="26" t="inlineStr">
        <is>
          <t>B</t>
        </is>
      </c>
      <c r="C20" s="30" t="inlineStr"/>
      <c r="D20" s="30" t="inlineStr"/>
      <c r="E20" s="30" t="inlineStr"/>
      <c r="F20" s="30" t="inlineStr"/>
      <c r="G20" s="30" t="inlineStr"/>
      <c r="H20" s="30" t="inlineStr"/>
      <c r="I20" s="30" t="inlineStr"/>
      <c r="J20" s="30" t="inlineStr"/>
      <c r="K20" s="31" t="inlineStr"/>
      <c r="L20" s="31" t="inlineStr"/>
    </row>
    <row r="21" ht="30" customHeight="1">
      <c r="A21" s="26" t="n">
        <v>9</v>
      </c>
      <c r="B21" s="26" t="inlineStr">
        <is>
          <t>A</t>
        </is>
      </c>
      <c r="C21" s="30" t="inlineStr"/>
      <c r="D21" s="30" t="inlineStr"/>
      <c r="E21" s="30" t="inlineStr"/>
      <c r="F21" s="30" t="inlineStr"/>
      <c r="G21" s="30" t="inlineStr"/>
      <c r="H21" s="30" t="inlineStr"/>
      <c r="I21" s="30" t="inlineStr"/>
      <c r="J21" s="30" t="inlineStr"/>
      <c r="K21" s="31" t="inlineStr"/>
      <c r="L21" s="31" t="inlineStr"/>
    </row>
  </sheetData>
  <autoFilter ref="A4:L21"/>
  <mergeCells count="2">
    <mergeCell ref="A2:L2"/>
    <mergeCell ref="A1:L1"/>
  </mergeCells>
  <conditionalFormatting sqref="E5:E21">
    <cfRule type="cellIs" priority="1" operator="greaterThan" dxfId="0">
      <formula>8.5</formula>
    </cfRule>
  </conditionalFormatting>
  <conditionalFormatting sqref="G5:G21">
    <cfRule type="cellIs" priority="2" operator="greaterThan" dxfId="0">
      <formula>8.5</formula>
    </cfRule>
  </conditionalFormatting>
  <conditionalFormatting sqref="I5:I21">
    <cfRule type="cellIs" priority="3" operator="greaterThanOrEqual" dxfId="0">
      <formula>4</formula>
    </cfRule>
  </conditionalFormatting>
  <conditionalFormatting sqref="H5:H21">
    <cfRule type="expression" priority="4" dxfId="1">
      <formula>$H5="Sì"</formula>
    </cfRule>
  </conditionalFormatting>
  <dataValidations count="4">
    <dataValidation sqref="E5:E21 G5:G21" showDropDown="0" showInputMessage="0" showErrorMessage="0" allowBlank="1" errorTitle="Valore non valido" error="Seleziona un valore RPE valido." type="list">
      <formula1>"6,6.5,7,7.5,8,8.5,9,9.5,10"</formula1>
    </dataValidation>
    <dataValidation sqref="H5:H21" showDropDown="0" showInputMessage="0" showErrorMessage="0" allowBlank="1" type="list">
      <formula1>"Sì,No,Parziale"</formula1>
    </dataValidation>
    <dataValidation sqref="I5:I21" showDropDown="0" showInputMessage="0" showErrorMessage="0" allowBlank="1" type="whole" operator="between">
      <formula1>0</formula1>
      <formula2>10</formula2>
    </dataValidation>
    <dataValidation sqref="J5:J2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Piano panca piana 10 minuti - 9 settimane</dc:title>
  <dc:subject xmlns:dc="http://purl.org/dc/elements/1.1/">Programma minimo efficace per forza massimale in panca</dc:subject>
  <dcterms:created xmlns:dcterms="http://purl.org/dc/terms/" xmlns:xsi="http://www.w3.org/2001/XMLSchema-instance" xsi:type="dcterms:W3CDTF">2026-08-04T09:54:03Z</dcterms:created>
  <dcterms:modified xmlns:dcterms="http://purl.org/dc/terms/" xmlns:xsi="http://www.w3.org/2001/XMLSchema-instance" xsi:type="dcterms:W3CDTF">2026-09-04T12:59:01Z</dcterms:modified>
  <cp:keywords>panca, forza, allenamento, 9 settimane, RPE</cp:keywords>
</cp:coreProperties>
</file>